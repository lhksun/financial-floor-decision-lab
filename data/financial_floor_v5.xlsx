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" sheetId="1" state="visible" r:id="rId3"/>
    <sheet name="calc_is" sheetId="2" state="visible" r:id="rId4"/>
    <sheet name="calc_cf" sheetId="3" state="visible" r:id="rId5"/>
    <sheet name="calc_bs" sheetId="4" state="visible" r:id="rId6"/>
    <sheet name="calc_metrics" sheetId="5" state="visible" r:id="rId7"/>
    <sheet name="projection" sheetId="6" state="visible" r:id="rId8"/>
    <sheet name="scenarios_def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<sst xmlns="http://schemas.openxmlformats.org/spreadsheetml/2006/main" count="618" uniqueCount="98">
  <si>
    <t xml:space="preserve">FINANCIAL FLOOR DECISION LAB — INPUT</t>
  </si>
  <si>
    <t xml:space="preserve">Blue cells = inputs you edit. Do not edit formulas in other sheets.</t>
  </si>
  <si>
    <t xml:space="preserve">PROFILE</t>
  </si>
  <si>
    <t xml:space="preserve">current_age</t>
  </si>
  <si>
    <t xml:space="preserve">monthly_income</t>
  </si>
  <si>
    <t xml:space="preserve">monthly_expense</t>
  </si>
  <si>
    <t xml:space="preserve">cash</t>
  </si>
  <si>
    <t xml:space="preserve">brokerage</t>
  </si>
  <si>
    <t xml:space="preserve">retirement_accounts</t>
  </si>
  <si>
    <t xml:space="preserve">monthly_401k</t>
  </si>
  <si>
    <t xml:space="preserve">RETIREMENT</t>
  </si>
  <si>
    <t xml:space="preserve">expected_return</t>
  </si>
  <si>
    <t xml:space="preserve">withdrawal_rate</t>
  </si>
  <si>
    <t xml:space="preserve">target_monthly_spend</t>
  </si>
  <si>
    <t xml:space="preserve">social_security_monthly</t>
  </si>
  <si>
    <t xml:space="preserve">retirement_invest_mo</t>
  </si>
  <si>
    <t xml:space="preserve">GOALS</t>
  </si>
  <si>
    <t xml:space="preserve">goal_name</t>
  </si>
  <si>
    <t xml:space="preserve">target_amount</t>
  </si>
  <si>
    <t xml:space="preserve">monthly_alloc</t>
  </si>
  <si>
    <t xml:space="preserve">Trading Seed</t>
  </si>
  <si>
    <t xml:space="preserve">Grad School Fund</t>
  </si>
  <si>
    <t xml:space="preserve">House Down Payment</t>
  </si>
  <si>
    <t xml:space="preserve">SCENARIOS</t>
  </si>
  <si>
    <t xml:space="preserve">scenario_name</t>
  </si>
  <si>
    <t xml:space="preserve">scenario_type</t>
  </si>
  <si>
    <t xml:space="preserve">active_flag</t>
  </si>
  <si>
    <t xml:space="preserve">pause_401k</t>
  </si>
  <si>
    <t xml:space="preserve">start_offset_yr</t>
  </si>
  <si>
    <t xml:space="preserve">duration_mo</t>
  </si>
  <si>
    <t xml:space="preserve">income_change_pct</t>
  </si>
  <si>
    <t xml:space="preserve">one_time_cost</t>
  </si>
  <si>
    <t xml:space="preserve">expense_delta_mo</t>
  </si>
  <si>
    <t xml:space="preserve">contrib_delta_mo</t>
  </si>
  <si>
    <t xml:space="preserve">recovery_income_pct</t>
  </si>
  <si>
    <t xml:space="preserve">Baseline</t>
  </si>
  <si>
    <t xml:space="preserve">baseline</t>
  </si>
  <si>
    <t xml:space="preserve">Career Break 1yr</t>
  </si>
  <si>
    <t xml:space="preserve">flow_shock</t>
  </si>
  <si>
    <t xml:space="preserve">Grad School 2yr</t>
  </si>
  <si>
    <t xml:space="preserve">hybrid</t>
  </si>
  <si>
    <t xml:space="preserve">Family Planning</t>
  </si>
  <si>
    <t xml:space="preserve">INCOME STATEMENT (IS) — Flow Constraints</t>
  </si>
  <si>
    <t xml:space="preserve">INCOME STATEMENT</t>
  </si>
  <si>
    <t xml:space="preserve">surplus</t>
  </si>
  <si>
    <t xml:space="preserve">annual_401k</t>
  </si>
  <si>
    <t xml:space="preserve">starting_invested_assets</t>
  </si>
  <si>
    <t xml:space="preserve">total_assets</t>
  </si>
  <si>
    <t xml:space="preserve">survival_months</t>
  </si>
  <si>
    <t xml:space="preserve">CASH FLOW (CF) — Allocation Waterfall</t>
  </si>
  <si>
    <t xml:space="preserve">ALLOCATION WATERFALL</t>
  </si>
  <si>
    <t xml:space="preserve">mandatory_401k_monthly</t>
  </si>
  <si>
    <t xml:space="preserve">retirement_invest_monthly</t>
  </si>
  <si>
    <t xml:space="preserve">retirement_invest_monthly_cap</t>
  </si>
  <si>
    <t xml:space="preserve">goal_alloc_total_monthly</t>
  </si>
  <si>
    <t xml:space="preserve">surplus_after_retire</t>
  </si>
  <si>
    <t xml:space="preserve">GOAL ALLOCATION (Surplus-Capped)</t>
  </si>
  <si>
    <t xml:space="preserve">GOAL ACHIEVE AGE</t>
  </si>
  <si>
    <t xml:space="preserve">achieve_age</t>
  </si>
  <si>
    <t xml:space="preserve">months_remaining</t>
  </si>
  <si>
    <t xml:space="preserve">RESIDUAL CASH</t>
  </si>
  <si>
    <t xml:space="preserve">cash_residual_monthly</t>
  </si>
  <si>
    <t xml:space="preserve">total_allocated_monthly</t>
  </si>
  <si>
    <t xml:space="preserve">BALANCE SHEET (BS) — Stock State</t>
  </si>
  <si>
    <t xml:space="preserve">CURRENT BALANCE SHEET</t>
  </si>
  <si>
    <t xml:space="preserve">safe_layer_target</t>
  </si>
  <si>
    <t xml:space="preserve">safe_layer_progress</t>
  </si>
  <si>
    <t xml:space="preserve">surplus_allocated_check</t>
  </si>
  <si>
    <t xml:space="preserve">METRICS — Primary KPIs</t>
  </si>
  <si>
    <t xml:space="preserve">CORE METRICS</t>
  </si>
  <si>
    <t xml:space="preserve">target_floor_annual_spend</t>
  </si>
  <si>
    <t xml:space="preserve">liquid_invested_assets</t>
  </si>
  <si>
    <t xml:space="preserve">floor_age</t>
  </si>
  <si>
    <t xml:space="preserve">years_to_stability</t>
  </si>
  <si>
    <t xml:space="preserve">investment_rate</t>
  </si>
  <si>
    <t xml:space="preserve">total_monthly_invest</t>
  </si>
  <si>
    <t xml:space="preserve">SCENARIO SUMMARY</t>
  </si>
  <si>
    <t xml:space="preserve">delta_vs_baseline</t>
  </si>
  <si>
    <t xml:space="preserve">SCN000</t>
  </si>
  <si>
    <t xml:space="preserve">SCN001</t>
  </si>
  <si>
    <t xml:space="preserve">SCN002</t>
  </si>
  <si>
    <t xml:space="preserve">SCN003</t>
  </si>
  <si>
    <t xml:space="preserve">scenario_id</t>
  </si>
  <si>
    <t xml:space="preserve">projection_year_index</t>
  </si>
  <si>
    <t xml:space="preserve">age</t>
  </si>
  <si>
    <t xml:space="preserve">age_in_year</t>
  </si>
  <si>
    <t xml:space="preserve">income_annual</t>
  </si>
  <si>
    <t xml:space="preserve">expense_annual</t>
  </si>
  <si>
    <t xml:space="preserve">surplus_annual</t>
  </si>
  <si>
    <t xml:space="preserve">contrib_annual</t>
  </si>
  <si>
    <t xml:space="preserve">assets_start</t>
  </si>
  <si>
    <t xml:space="preserve">assets_end</t>
  </si>
  <si>
    <t xml:space="preserve">cash_balance</t>
  </si>
  <si>
    <t xml:space="preserve">floor_reached_flag</t>
  </si>
  <si>
    <t xml:space="preserve">feasible_flag</t>
  </si>
  <si>
    <t xml:space="preserve">SCENARIO DEFINITIONS (reference only — edit in input sheet)</t>
  </si>
  <si>
    <t xml:space="preserve">scenario_type ENUM: baseline | flow_shock | stock_shock | hybrid</t>
  </si>
  <si>
    <t xml:space="preserve">flow_shock: IS impact (income/expense change) | stock_shock: BS direct (one_time_cost) | hybrid: both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</si>
</sst>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\$#,##0"/>
    <numFmt numFmtId="167" formatCode="0.0%"/>
    <numFmt numFmtId="168" formatCode="General"/>
    <numFmt numFmtId="169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74151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7000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374151"/>
        <bgColor rgb="FF1F2937"/>
      </patternFill>
    </fill>
    <fill>
      <patternFill patternType="solid">
        <fgColor rgb="FFFFFF00"/>
        <bgColor rgb="FFFFFF00"/>
      </patternFill>
    </fill>
    <fill>
      <patternFill patternType="solid">
        <fgColor rgb="FFF9FAFB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5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3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3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3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3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000"/>
      <rgbColor rgb="FF000080"/>
      <rgbColor rgb="FF808000"/>
      <rgbColor rgb="FF800080"/>
      <rgbColor rgb="FF008080"/>
      <rgbColor rgb="FFC0C0C0"/>
      <rgbColor rgb="FF808080"/>
      <rgbColor rgb="FF8B5CF6"/>
      <rgbColor rgb="FF993366"/>
      <rgbColor rgb="FFF9FA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B82F6"/>
      <rgbColor rgb="FF33CCCC"/>
      <rgbColor rgb="FF99CC00"/>
      <rgbColor rgb="FFFFCC00"/>
      <rgbColor rgb="FFF59E0B"/>
      <rgbColor rgb="FFFF6600"/>
      <rgbColor rgb="FF6B7280"/>
      <rgbColor rgb="FF969696"/>
      <rgbColor rgb="FF003366"/>
      <rgbColor rgb="FF10B981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K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0"/>
    <col collapsed="false" customWidth="true" hidden="false" outlineLevel="0" max="11" min="3" style="1" width="12"/>
  </cols>
  <sheetData>
    <row r="1" customFormat="false" ht="27.75" hidden="false" customHeight="true" outlineLevel="0" collapsed="false">
      <c r="A1" s="2" t="s">
        <v>0</v>
      </c>
      <c r="B1" s="2"/>
      <c r="C1" s="2"/>
    </row>
    <row r="2" customFormat="false" ht="15" hidden="false" customHeight="true" outlineLevel="0" collapsed="false">
      <c r="A2" s="3" t="s">
        <v>1</v>
      </c>
      <c r="B2" s="3"/>
      <c r="C2" s="3"/>
    </row>
    <row r="4" customFormat="false" ht="21.75" hidden="false" customHeight="true" outlineLevel="0" collapsed="false">
      <c r="A4" s="4" t="s">
        <v>2</v>
      </c>
      <c r="B4" s="4"/>
      <c r="C4" s="4"/>
    </row>
    <row r="5" customFormat="false" ht="19.5" hidden="false" customHeight="true" outlineLevel="0" collapsed="false">
      <c r="A5" s="5" t="s">
        <v>3</v>
      </c>
      <c r="B5" s="6" t="n">
        <v>38</v>
      </c>
    </row>
    <row r="6" customFormat="false" ht="19.5" hidden="false" customHeight="true" outlineLevel="0" collapsed="false">
      <c r="A6" s="5" t="s">
        <v>4</v>
      </c>
      <c r="B6" s="7" t="n">
        <v>4800</v>
      </c>
    </row>
    <row r="7" customFormat="false" ht="19.5" hidden="false" customHeight="true" outlineLevel="0" collapsed="false">
      <c r="A7" s="5" t="s">
        <v>5</v>
      </c>
      <c r="B7" s="7" t="n">
        <v>3000</v>
      </c>
    </row>
    <row r="8" customFormat="false" ht="19.5" hidden="false" customHeight="true" outlineLevel="0" collapsed="false">
      <c r="A8" s="5" t="s">
        <v>6</v>
      </c>
      <c r="B8" s="7" t="n">
        <v>19124</v>
      </c>
    </row>
    <row r="9" customFormat="false" ht="19.5" hidden="false" customHeight="true" outlineLevel="0" collapsed="false">
      <c r="A9" s="5" t="s">
        <v>7</v>
      </c>
      <c r="B9" s="7" t="n">
        <v>76009</v>
      </c>
    </row>
    <row r="10" customFormat="false" ht="19.5" hidden="false" customHeight="true" outlineLevel="0" collapsed="false">
      <c r="A10" s="5" t="s">
        <v>8</v>
      </c>
      <c r="B10" s="7" t="n">
        <v>71943</v>
      </c>
    </row>
    <row r="11" customFormat="false" ht="19.5" hidden="false" customHeight="true" outlineLevel="0" collapsed="false">
      <c r="A11" s="5" t="s">
        <v>9</v>
      </c>
      <c r="B11" s="7" t="n">
        <v>1958</v>
      </c>
    </row>
    <row r="13" customFormat="false" ht="21.75" hidden="false" customHeight="true" outlineLevel="0" collapsed="false">
      <c r="A13" s="4" t="s">
        <v>10</v>
      </c>
      <c r="B13" s="4"/>
      <c r="C13" s="4"/>
    </row>
    <row r="14" customFormat="false" ht="19.5" hidden="false" customHeight="true" outlineLevel="0" collapsed="false">
      <c r="A14" s="5" t="s">
        <v>11</v>
      </c>
      <c r="B14" s="8" t="n">
        <v>0.07</v>
      </c>
    </row>
    <row r="15" customFormat="false" ht="19.5" hidden="false" customHeight="true" outlineLevel="0" collapsed="false">
      <c r="A15" s="5" t="s">
        <v>12</v>
      </c>
      <c r="B15" s="8" t="n">
        <v>0.04</v>
      </c>
    </row>
    <row r="16" customFormat="false" ht="19.5" hidden="false" customHeight="true" outlineLevel="0" collapsed="false">
      <c r="A16" s="5" t="s">
        <v>13</v>
      </c>
      <c r="B16" s="7" t="n">
        <v>8333</v>
      </c>
    </row>
    <row r="17" customFormat="false" ht="19.5" hidden="false" customHeight="true" outlineLevel="0" collapsed="false">
      <c r="A17" s="5" t="s">
        <v>14</v>
      </c>
      <c r="B17" s="7" t="n">
        <v>0</v>
      </c>
    </row>
    <row r="18" customFormat="false" ht="19.5" hidden="false" customHeight="true" outlineLevel="0" collapsed="false">
      <c r="A18" s="5" t="s">
        <v>15</v>
      </c>
      <c r="B18" s="7" t="n">
        <v>800</v>
      </c>
    </row>
    <row r="20" customFormat="false" ht="21.75" hidden="false" customHeight="true" outlineLevel="0" collapsed="false">
      <c r="A20" s="4" t="s">
        <v>16</v>
      </c>
      <c r="B20" s="4"/>
      <c r="C20" s="4"/>
    </row>
    <row r="21" customFormat="false" ht="19.5" hidden="false" customHeight="true" outlineLevel="0" collapsed="false">
      <c r="A21" s="9" t="s">
        <v>17</v>
      </c>
      <c r="B21" s="9" t="s">
        <v>18</v>
      </c>
      <c r="C21" s="9" t="s">
        <v>19</v>
      </c>
    </row>
    <row r="22" customFormat="false" ht="19.5" hidden="false" customHeight="true" outlineLevel="0" collapsed="false">
      <c r="A22" s="10" t="s">
        <v>20</v>
      </c>
      <c r="B22" s="7" t="n">
        <v>250000</v>
      </c>
      <c r="C22" s="7" t="n">
        <v>200</v>
      </c>
    </row>
    <row r="23" customFormat="false" ht="19.5" hidden="false" customHeight="true" outlineLevel="0" collapsed="false">
      <c r="A23" s="10" t="s">
        <v>21</v>
      </c>
      <c r="B23" s="7" t="n">
        <v>40000</v>
      </c>
      <c r="C23" s="7" t="n">
        <v>300</v>
      </c>
    </row>
    <row r="24" customFormat="false" ht="19.5" hidden="false" customHeight="true" outlineLevel="0" collapsed="false">
      <c r="A24" s="10" t="s">
        <v>22</v>
      </c>
      <c r="B24" s="7" t="n">
        <v>80000</v>
      </c>
      <c r="C24" s="7" t="n">
        <v>500</v>
      </c>
    </row>
    <row r="26" customFormat="false" ht="21.75" hidden="false" customHeight="true" outlineLevel="0" collapsed="false">
      <c r="A26" s="4" t="s">
        <v>23</v>
      </c>
      <c r="B26" s="4"/>
      <c r="C26" s="4"/>
    </row>
    <row r="27" customFormat="false" ht="19.5" hidden="false" customHeight="true" outlineLevel="0" collapsed="false">
      <c r="A27" s="9" t="s">
        <v>24</v>
      </c>
      <c r="B27" s="9" t="s">
        <v>25</v>
      </c>
      <c r="C27" s="9" t="s">
        <v>26</v>
      </c>
      <c r="D27" s="9" t="s">
        <v>27</v>
      </c>
      <c r="E27" s="9" t="s">
        <v>28</v>
      </c>
      <c r="F27" s="9" t="s">
        <v>29</v>
      </c>
      <c r="G27" s="9" t="s">
        <v>30</v>
      </c>
      <c r="H27" s="9" t="s">
        <v>31</v>
      </c>
      <c r="I27" s="9" t="s">
        <v>32</v>
      </c>
      <c r="J27" s="9" t="s">
        <v>33</v>
      </c>
      <c r="K27" s="9" t="s">
        <v>34</v>
      </c>
    </row>
    <row r="28" customFormat="false" ht="19.5" hidden="false" customHeight="true" outlineLevel="0" collapsed="false">
      <c r="A28" s="10" t="s">
        <v>35</v>
      </c>
      <c r="B28" s="10" t="s">
        <v>36</v>
      </c>
      <c r="C28" s="11" t="b">
        <f aca="false">TRUE()</f>
        <v>1</v>
      </c>
      <c r="D28" s="11" t="b">
        <f aca="false">FALSE()</f>
        <v>0</v>
      </c>
      <c r="E28" s="6" t="n">
        <v>0</v>
      </c>
      <c r="F28" s="6" t="n">
        <v>0</v>
      </c>
      <c r="G28" s="8" t="n">
        <v>0</v>
      </c>
      <c r="H28" s="7" t="n">
        <v>0</v>
      </c>
      <c r="I28" s="7" t="n">
        <v>0</v>
      </c>
      <c r="J28" s="7" t="n">
        <v>0</v>
      </c>
      <c r="K28" s="8" t="n">
        <v>1</v>
      </c>
    </row>
    <row r="29" customFormat="false" ht="19.5" hidden="false" customHeight="true" outlineLevel="0" collapsed="false">
      <c r="A29" s="10" t="s">
        <v>37</v>
      </c>
      <c r="B29" s="10" t="s">
        <v>38</v>
      </c>
      <c r="C29" s="11" t="b">
        <f aca="false">TRUE()</f>
        <v>1</v>
      </c>
      <c r="D29" s="11" t="b">
        <f aca="false">TRUE()</f>
        <v>1</v>
      </c>
      <c r="E29" s="6" t="n">
        <v>1</v>
      </c>
      <c r="F29" s="6" t="n">
        <v>12</v>
      </c>
      <c r="G29" s="8" t="n">
        <v>-1</v>
      </c>
      <c r="H29" s="7" t="n">
        <v>0</v>
      </c>
      <c r="I29" s="7" t="n">
        <v>0</v>
      </c>
      <c r="J29" s="7" t="n">
        <v>-800</v>
      </c>
      <c r="K29" s="8" t="n">
        <v>1</v>
      </c>
    </row>
    <row r="30" customFormat="false" ht="19.5" hidden="false" customHeight="true" outlineLevel="0" collapsed="false">
      <c r="A30" s="10" t="s">
        <v>39</v>
      </c>
      <c r="B30" s="10" t="s">
        <v>40</v>
      </c>
      <c r="C30" s="11" t="b">
        <f aca="false">TRUE()</f>
        <v>1</v>
      </c>
      <c r="D30" s="11" t="b">
        <f aca="false">TRUE()</f>
        <v>1</v>
      </c>
      <c r="E30" s="6" t="n">
        <v>2</v>
      </c>
      <c r="F30" s="6" t="n">
        <v>24</v>
      </c>
      <c r="G30" s="8" t="n">
        <v>-0.5</v>
      </c>
      <c r="H30" s="7" t="n">
        <v>40000</v>
      </c>
      <c r="I30" s="7" t="n">
        <v>300</v>
      </c>
      <c r="J30" s="7" t="n">
        <v>-800</v>
      </c>
      <c r="K30" s="8" t="n">
        <v>1</v>
      </c>
    </row>
    <row r="31" customFormat="false" ht="19.5" hidden="false" customHeight="true" outlineLevel="0" collapsed="false">
      <c r="A31" s="10" t="s">
        <v>41</v>
      </c>
      <c r="B31" s="10" t="s">
        <v>38</v>
      </c>
      <c r="C31" s="11" t="b">
        <f aca="false">TRUE()</f>
        <v>1</v>
      </c>
      <c r="D31" s="11" t="b">
        <f aca="false">FALSE()</f>
        <v>0</v>
      </c>
      <c r="E31" s="6" t="n">
        <v>1</v>
      </c>
      <c r="F31" s="6" t="n">
        <v>12</v>
      </c>
      <c r="G31" s="8" t="n">
        <v>0</v>
      </c>
      <c r="H31" s="7" t="n">
        <v>0</v>
      </c>
      <c r="I31" s="7" t="n">
        <v>500</v>
      </c>
      <c r="J31" s="7" t="n">
        <v>0</v>
      </c>
      <c r="K31" s="8" t="n">
        <v>1</v>
      </c>
    </row>
  </sheetData>
  <mergeCells count="6">
    <mergeCell ref="A1:C1"/>
    <mergeCell ref="A2:C2"/>
    <mergeCell ref="A4:C4"/>
    <mergeCell ref="A13:C13"/>
    <mergeCell ref="A20:C20"/>
    <mergeCell ref="A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20"/>
    <col collapsed="false" customWidth="true" hidden="false" outlineLevel="0" max="3" min="3" style="1" width="30"/>
  </cols>
  <sheetData>
    <row r="1" customFormat="false" ht="27.75" hidden="false" customHeight="true" outlineLevel="0" collapsed="false">
      <c r="A1" s="12" t="s">
        <v>42</v>
      </c>
      <c r="B1" s="12"/>
      <c r="C1" s="12"/>
    </row>
    <row r="2" customFormat="false" ht="15" hidden="false" customHeight="true" outlineLevel="0" collapsed="false">
      <c r="A2" s="4" t="s">
        <v>43</v>
      </c>
      <c r="B2" s="4"/>
      <c r="C2" s="4"/>
    </row>
    <row r="3" customFormat="false" ht="19.5" hidden="false" customHeight="true" outlineLevel="0" collapsed="false">
      <c r="A3" s="5" t="s">
        <v>4</v>
      </c>
      <c r="B3" s="13" t="n">
        <f aca="false">input!B6</f>
        <v>4800</v>
      </c>
    </row>
    <row r="4" customFormat="false" ht="19.5" hidden="false" customHeight="true" outlineLevel="0" collapsed="false">
      <c r="A4" s="5" t="s">
        <v>5</v>
      </c>
      <c r="B4" s="13" t="n">
        <f aca="false">input!B7</f>
        <v>3000</v>
      </c>
    </row>
    <row r="5" customFormat="false" ht="19.5" hidden="false" customHeight="true" outlineLevel="0" collapsed="false">
      <c r="A5" s="5" t="s">
        <v>44</v>
      </c>
      <c r="B5" s="14" t="n">
        <f aca="false">B3-B4</f>
        <v>1800</v>
      </c>
    </row>
    <row r="7" customFormat="false" ht="19.5" hidden="false" customHeight="true" outlineLevel="0" collapsed="false">
      <c r="A7" s="5" t="s">
        <v>9</v>
      </c>
      <c r="B7" s="13" t="n">
        <f aca="false">input!B11</f>
        <v>1958</v>
      </c>
    </row>
    <row r="8" customFormat="false" ht="19.5" hidden="false" customHeight="true" outlineLevel="0" collapsed="false">
      <c r="A8" s="5" t="s">
        <v>45</v>
      </c>
      <c r="B8" s="14" t="n">
        <f aca="false">B7*12</f>
        <v>23496</v>
      </c>
    </row>
    <row r="10" customFormat="false" ht="19.5" hidden="false" customHeight="true" outlineLevel="0" collapsed="false">
      <c r="A10" s="5" t="s">
        <v>6</v>
      </c>
      <c r="B10" s="13" t="n">
        <f aca="false">input!B8</f>
        <v>19124</v>
      </c>
    </row>
    <row r="11" customFormat="false" ht="19.5" hidden="false" customHeight="true" outlineLevel="0" collapsed="false">
      <c r="A11" s="5" t="s">
        <v>7</v>
      </c>
      <c r="B11" s="13" t="n">
        <f aca="false">input!B9</f>
        <v>76009</v>
      </c>
    </row>
    <row r="12" customFormat="false" ht="19.5" hidden="false" customHeight="true" outlineLevel="0" collapsed="false">
      <c r="A12" s="5" t="s">
        <v>8</v>
      </c>
      <c r="B12" s="13" t="n">
        <f aca="false">input!B10</f>
        <v>71943</v>
      </c>
    </row>
    <row r="13" customFormat="false" ht="19.5" hidden="false" customHeight="true" outlineLevel="0" collapsed="false">
      <c r="A13" s="5" t="s">
        <v>46</v>
      </c>
      <c r="B13" s="14" t="n">
        <f aca="false">B11+B12</f>
        <v>147952</v>
      </c>
    </row>
    <row r="14" customFormat="false" ht="19.5" hidden="false" customHeight="true" outlineLevel="0" collapsed="false">
      <c r="A14" s="5" t="s">
        <v>47</v>
      </c>
      <c r="B14" s="14" t="n">
        <f aca="false">B10+B11+B12</f>
        <v>167076</v>
      </c>
    </row>
    <row r="16" customFormat="false" ht="19.5" hidden="false" customHeight="true" outlineLevel="0" collapsed="false">
      <c r="A16" s="5" t="s">
        <v>48</v>
      </c>
      <c r="B16" s="15" t="n">
        <f aca="false">IFERROR(B10/B4,0)</f>
        <v>6.37466666666667</v>
      </c>
    </row>
    <row r="17" customFormat="false" ht="19.5" hidden="false" customHeight="true" outlineLevel="0" collapsed="false">
      <c r="A17" s="5" t="s">
        <v>3</v>
      </c>
      <c r="B17" s="16" t="n">
        <f aca="false">input!B5</f>
        <v>38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20"/>
    <col collapsed="false" customWidth="true" hidden="false" outlineLevel="0" max="3" min="3" style="1" width="30"/>
  </cols>
  <sheetData>
    <row r="1" customFormat="false" ht="27.75" hidden="false" customHeight="true" outlineLevel="0" collapsed="false">
      <c r="A1" s="12" t="s">
        <v>49</v>
      </c>
      <c r="B1" s="12"/>
      <c r="C1" s="12"/>
    </row>
    <row r="2" customFormat="false" ht="15" hidden="false" customHeight="true" outlineLevel="0" collapsed="false">
      <c r="A2" s="4" t="s">
        <v>50</v>
      </c>
      <c r="B2" s="4"/>
      <c r="C2" s="4"/>
    </row>
    <row r="3" customFormat="false" ht="19.5" hidden="false" customHeight="true" outlineLevel="0" collapsed="false">
      <c r="A3" s="5" t="s">
        <v>44</v>
      </c>
      <c r="B3" s="13" t="n">
        <f aca="false">calc_is!B5</f>
        <v>1800</v>
      </c>
    </row>
    <row r="4" customFormat="false" ht="19.5" hidden="false" customHeight="true" outlineLevel="0" collapsed="false">
      <c r="A4" s="5" t="s">
        <v>51</v>
      </c>
      <c r="B4" s="13" t="n">
        <f aca="false">calc_is!B7</f>
        <v>1958</v>
      </c>
    </row>
    <row r="6" customFormat="false" ht="19.5" hidden="false" customHeight="true" outlineLevel="0" collapsed="false">
      <c r="A6" s="5" t="s">
        <v>52</v>
      </c>
      <c r="B6" s="13" t="n">
        <f aca="false">input!B18</f>
        <v>800</v>
      </c>
    </row>
    <row r="7" customFormat="false" ht="19.5" hidden="false" customHeight="true" outlineLevel="0" collapsed="false">
      <c r="A7" s="5" t="s">
        <v>53</v>
      </c>
      <c r="B7" s="14" t="n">
        <f aca="false">MAX(0,MIN(B6,calc_is!B5))</f>
        <v>800</v>
      </c>
    </row>
    <row r="9" customFormat="false" ht="19.5" hidden="false" customHeight="true" outlineLevel="0" collapsed="false">
      <c r="A9" s="5" t="s">
        <v>54</v>
      </c>
      <c r="B9" s="14" t="n">
        <f aca="false">SUM(B12:B14)</f>
        <v>1000</v>
      </c>
    </row>
    <row r="10" customFormat="false" ht="19.5" hidden="false" customHeight="true" outlineLevel="0" collapsed="false">
      <c r="A10" s="5" t="s">
        <v>55</v>
      </c>
      <c r="B10" s="14" t="n">
        <f aca="false">MAX(0,B3-B7)</f>
        <v>1000</v>
      </c>
    </row>
    <row r="11" customFormat="false" ht="19.5" hidden="false" customHeight="true" outlineLevel="0" collapsed="false">
      <c r="A11" s="4" t="s">
        <v>56</v>
      </c>
      <c r="B11" s="4"/>
    </row>
    <row r="12" customFormat="false" ht="19.5" hidden="false" customHeight="true" outlineLevel="0" collapsed="false">
      <c r="A12" s="17" t="n">
        <f aca="false">input!C22</f>
        <v>200</v>
      </c>
      <c r="B12" s="13" t="n">
        <f aca="false">MIN(input!C22, MAX(0, B10))</f>
        <v>200</v>
      </c>
      <c r="C12" s="13" t="n">
        <f aca="false">IFERROR(input!B22, 0)</f>
        <v>250000</v>
      </c>
      <c r="D12" s="18" t="n">
        <f aca="false">IFERROR((input!B22)/MAX(1,B12)*12, 0)</f>
        <v>15000</v>
      </c>
    </row>
    <row r="13" customFormat="false" ht="19.5" hidden="false" customHeight="true" outlineLevel="0" collapsed="false">
      <c r="A13" s="17" t="n">
        <f aca="false">input!C23</f>
        <v>300</v>
      </c>
      <c r="B13" s="13" t="n">
        <f aca="false">MIN(input!C23, MAX(0, B10-B12))</f>
        <v>300</v>
      </c>
      <c r="C13" s="13" t="n">
        <f aca="false">IFERROR(input!B23, 0)</f>
        <v>40000</v>
      </c>
      <c r="D13" s="18" t="n">
        <f aca="false">IFERROR((input!B23)/MAX(1,B13)*12, 0)</f>
        <v>1600</v>
      </c>
    </row>
    <row r="14" customFormat="false" ht="19.5" hidden="false" customHeight="true" outlineLevel="0" collapsed="false">
      <c r="A14" s="17" t="n">
        <f aca="false">input!C24</f>
        <v>500</v>
      </c>
      <c r="B14" s="13" t="n">
        <f aca="false">MIN(input!C24, MAX(0, B10-B12-B13))</f>
        <v>500</v>
      </c>
      <c r="C14" s="13" t="n">
        <f aca="false">IFERROR(input!B24, 0)</f>
        <v>80000</v>
      </c>
      <c r="D14" s="18" t="n">
        <f aca="false">IFERROR((input!B24)/MAX(1,B14)*12, 0)</f>
        <v>1920</v>
      </c>
    </row>
    <row r="16" customFormat="false" ht="15" hidden="false" customHeight="true" outlineLevel="0" collapsed="false">
      <c r="A16" s="4" t="s">
        <v>57</v>
      </c>
      <c r="B16" s="4"/>
      <c r="C16" s="4"/>
    </row>
    <row r="17" customFormat="false" ht="15" hidden="false" customHeight="true" outlineLevel="0" collapsed="false">
      <c r="A17" s="9" t="s">
        <v>17</v>
      </c>
      <c r="B17" s="9" t="s">
        <v>58</v>
      </c>
      <c r="C17" s="9" t="s">
        <v>59</v>
      </c>
    </row>
    <row r="18" customFormat="false" ht="19.5" hidden="false" customHeight="true" outlineLevel="0" collapsed="false">
      <c r="A18" s="17" t="n">
        <f aca="false">input!C22</f>
        <v>200</v>
      </c>
      <c r="B18" s="18" t="n">
        <f aca="false">IFERROR(input!B5+B12/12, 999)</f>
        <v>54.6666666666667</v>
      </c>
      <c r="C18" s="18" t="n">
        <f aca="false">B12</f>
        <v>200</v>
      </c>
    </row>
    <row r="19" customFormat="false" ht="19.5" hidden="false" customHeight="true" outlineLevel="0" collapsed="false">
      <c r="A19" s="17" t="n">
        <f aca="false">input!C23</f>
        <v>300</v>
      </c>
      <c r="B19" s="18" t="n">
        <f aca="false">IFERROR(input!B5+B13/12, 999)</f>
        <v>63</v>
      </c>
      <c r="C19" s="18" t="n">
        <f aca="false">B13</f>
        <v>300</v>
      </c>
    </row>
    <row r="20" customFormat="false" ht="19.5" hidden="false" customHeight="true" outlineLevel="0" collapsed="false">
      <c r="A20" s="17" t="n">
        <f aca="false">input!C24</f>
        <v>500</v>
      </c>
      <c r="B20" s="18" t="n">
        <f aca="false">IFERROR(input!B5+B14/12, 999)</f>
        <v>79.6666666666667</v>
      </c>
      <c r="C20" s="18" t="n">
        <f aca="false">B14</f>
        <v>500</v>
      </c>
    </row>
    <row r="22" customFormat="false" ht="15" hidden="false" customHeight="true" outlineLevel="0" collapsed="false">
      <c r="A22" s="4" t="s">
        <v>60</v>
      </c>
      <c r="B22" s="4"/>
      <c r="C22" s="4"/>
    </row>
    <row r="23" customFormat="false" ht="19.5" hidden="false" customHeight="true" outlineLevel="0" collapsed="false">
      <c r="A23" s="5" t="s">
        <v>61</v>
      </c>
      <c r="B23" s="14" t="n">
        <f aca="false">MAX(0,B3-B7-B9)</f>
        <v>0</v>
      </c>
    </row>
    <row r="24" customFormat="false" ht="19.5" hidden="false" customHeight="true" outlineLevel="0" collapsed="false">
      <c r="A24" s="5" t="s">
        <v>62</v>
      </c>
      <c r="B24" s="14" t="n">
        <f aca="false">B7+B9</f>
        <v>1800</v>
      </c>
    </row>
  </sheetData>
  <mergeCells count="5">
    <mergeCell ref="A1:C1"/>
    <mergeCell ref="A2:C2"/>
    <mergeCell ref="A11:B11"/>
    <mergeCell ref="A16:C16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20"/>
    <col collapsed="false" customWidth="true" hidden="false" outlineLevel="0" max="3" min="3" style="1" width="30"/>
  </cols>
  <sheetData>
    <row r="1" customFormat="false" ht="27.75" hidden="false" customHeight="true" outlineLevel="0" collapsed="false">
      <c r="A1" s="12" t="s">
        <v>63</v>
      </c>
      <c r="B1" s="12"/>
      <c r="C1" s="12"/>
    </row>
    <row r="2" customFormat="false" ht="15" hidden="false" customHeight="true" outlineLevel="0" collapsed="false">
      <c r="A2" s="4" t="s">
        <v>64</v>
      </c>
      <c r="B2" s="4"/>
      <c r="C2" s="4"/>
    </row>
    <row r="3" customFormat="false" ht="19.5" hidden="false" customHeight="true" outlineLevel="0" collapsed="false">
      <c r="A3" s="5" t="s">
        <v>6</v>
      </c>
      <c r="B3" s="13" t="n">
        <f aca="false">calc_is!B10</f>
        <v>19124</v>
      </c>
    </row>
    <row r="4" customFormat="false" ht="19.5" hidden="false" customHeight="true" outlineLevel="0" collapsed="false">
      <c r="A4" s="5" t="s">
        <v>7</v>
      </c>
      <c r="B4" s="13" t="n">
        <f aca="false">calc_is!B11</f>
        <v>76009</v>
      </c>
    </row>
    <row r="5" customFormat="false" ht="19.5" hidden="false" customHeight="true" outlineLevel="0" collapsed="false">
      <c r="A5" s="5" t="s">
        <v>8</v>
      </c>
      <c r="B5" s="13" t="n">
        <f aca="false">calc_is!B12</f>
        <v>71943</v>
      </c>
    </row>
    <row r="6" customFormat="false" ht="19.5" hidden="false" customHeight="true" outlineLevel="0" collapsed="false">
      <c r="A6" s="5" t="s">
        <v>46</v>
      </c>
      <c r="B6" s="13" t="n">
        <f aca="false">calc_is!B13</f>
        <v>147952</v>
      </c>
    </row>
    <row r="7" customFormat="false" ht="19.5" hidden="false" customHeight="true" outlineLevel="0" collapsed="false">
      <c r="A7" s="5" t="s">
        <v>47</v>
      </c>
      <c r="B7" s="13" t="n">
        <f aca="false">calc_is!B14</f>
        <v>167076</v>
      </c>
    </row>
    <row r="9" customFormat="false" ht="19.5" hidden="false" customHeight="true" outlineLevel="0" collapsed="false">
      <c r="A9" s="5" t="s">
        <v>65</v>
      </c>
      <c r="B9" s="13" t="n">
        <f aca="false">calc_metrics!B4</f>
        <v>2499900</v>
      </c>
    </row>
    <row r="10" customFormat="false" ht="19.5" hidden="false" customHeight="true" outlineLevel="0" collapsed="false">
      <c r="A10" s="5" t="s">
        <v>66</v>
      </c>
      <c r="B10" s="19" t="n">
        <f aca="false">IFERROR(B6/B9,0)</f>
        <v>0.0591831673266931</v>
      </c>
    </row>
    <row r="11" customFormat="false" ht="19.5" hidden="false" customHeight="true" outlineLevel="0" collapsed="false">
      <c r="A11" s="5" t="s">
        <v>67</v>
      </c>
      <c r="B11" s="13" t="n">
        <f aca="false">calc_cf!B24</f>
        <v>1800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22"/>
    <col collapsed="false" customWidth="true" hidden="false" outlineLevel="0" max="3" min="3" style="1" width="30"/>
  </cols>
  <sheetData>
    <row r="1" customFormat="false" ht="27.75" hidden="false" customHeight="true" outlineLevel="0" collapsed="false">
      <c r="A1" s="12" t="s">
        <v>68</v>
      </c>
      <c r="B1" s="12"/>
      <c r="C1" s="12"/>
    </row>
    <row r="2" customFormat="false" ht="15" hidden="false" customHeight="true" outlineLevel="0" collapsed="false">
      <c r="A2" s="4" t="s">
        <v>69</v>
      </c>
      <c r="B2" s="4"/>
      <c r="C2" s="4"/>
    </row>
    <row r="3" customFormat="false" ht="19.5" hidden="false" customHeight="true" outlineLevel="0" collapsed="false">
      <c r="A3" s="5" t="s">
        <v>70</v>
      </c>
      <c r="B3" s="13" t="n">
        <f aca="false">input!B16*12</f>
        <v>99996</v>
      </c>
    </row>
    <row r="4" customFormat="false" ht="19.5" hidden="false" customHeight="true" outlineLevel="0" collapsed="false">
      <c r="A4" s="5" t="s">
        <v>65</v>
      </c>
      <c r="B4" s="13" t="n">
        <f aca="false">IFERROR((B3-input!B17*12)/input!B15,0)</f>
        <v>2499900</v>
      </c>
    </row>
    <row r="5" customFormat="false" ht="19.5" hidden="false" customHeight="true" outlineLevel="0" collapsed="false">
      <c r="A5" s="5" t="s">
        <v>71</v>
      </c>
      <c r="B5" s="13" t="n">
        <f aca="false">calc_is!B13</f>
        <v>147952</v>
      </c>
    </row>
    <row r="6" customFormat="false" ht="19.5" hidden="false" customHeight="true" outlineLevel="0" collapsed="false">
      <c r="A6" s="5" t="s">
        <v>66</v>
      </c>
      <c r="B6" s="19" t="n">
        <f aca="false">IFERROR(B5/B4,0)</f>
        <v>0.0591831673266931</v>
      </c>
    </row>
    <row r="7" customFormat="false" ht="19.5" hidden="false" customHeight="true" outlineLevel="0" collapsed="false">
      <c r="A7" s="5" t="s">
        <v>48</v>
      </c>
      <c r="B7" s="18" t="n">
        <f aca="false">calc_is!B16</f>
        <v>6.37466666666667</v>
      </c>
    </row>
    <row r="9" customFormat="false" ht="19.5" hidden="false" customHeight="true" outlineLevel="0" collapsed="false">
      <c r="A9" s="5" t="s">
        <v>72</v>
      </c>
      <c r="B9" s="16" t="n">
        <f aca="false">B16</f>
        <v>61</v>
      </c>
    </row>
    <row r="10" customFormat="false" ht="19.5" hidden="false" customHeight="true" outlineLevel="0" collapsed="false">
      <c r="A10" s="5" t="s">
        <v>73</v>
      </c>
      <c r="B10" s="16" t="n">
        <f aca="false">IFERROR(B9-input!B5,0)</f>
        <v>23</v>
      </c>
    </row>
    <row r="11" customFormat="false" ht="19.5" hidden="false" customHeight="true" outlineLevel="0" collapsed="false">
      <c r="A11" s="5" t="s">
        <v>74</v>
      </c>
      <c r="B11" s="20" t="n">
        <f aca="false">IFERROR((calc_cf!B7+calc_is!B7)*12/(input!B6*12),0)</f>
        <v>0.574583333333333</v>
      </c>
    </row>
    <row r="12" customFormat="false" ht="19.5" hidden="false" customHeight="true" outlineLevel="0" collapsed="false">
      <c r="A12" s="5" t="s">
        <v>75</v>
      </c>
      <c r="B12" s="13" t="n">
        <f aca="false">IFERROR(calc_cf!B7+calc_is!B7,0)</f>
        <v>2758</v>
      </c>
    </row>
    <row r="14" customFormat="false" ht="15" hidden="false" customHeight="true" outlineLevel="0" collapsed="false">
      <c r="A14" s="4" t="s">
        <v>76</v>
      </c>
      <c r="B14" s="4"/>
      <c r="C14" s="4"/>
    </row>
    <row r="15" customFormat="false" ht="15" hidden="false" customHeight="true" outlineLevel="0" collapsed="false">
      <c r="A15" s="9" t="s">
        <v>24</v>
      </c>
      <c r="B15" s="9" t="s">
        <v>72</v>
      </c>
      <c r="C15" s="9" t="s">
        <v>77</v>
      </c>
    </row>
    <row r="16" customFormat="false" ht="19.5" hidden="false" customHeight="true" outlineLevel="0" collapsed="false">
      <c r="A16" s="5" t="s">
        <v>78</v>
      </c>
      <c r="B16" s="21" t="n">
        <v>61</v>
      </c>
      <c r="C16" s="21" t="n">
        <v>0</v>
      </c>
    </row>
    <row r="17" customFormat="false" ht="19.5" hidden="false" customHeight="true" outlineLevel="0" collapsed="false">
      <c r="A17" s="5" t="s">
        <v>79</v>
      </c>
      <c r="B17" s="21" t="n">
        <v>61</v>
      </c>
      <c r="C17" s="21" t="n">
        <v>0</v>
      </c>
    </row>
    <row r="18" customFormat="false" ht="19.5" hidden="false" customHeight="true" outlineLevel="0" collapsed="false">
      <c r="A18" s="5" t="s">
        <v>80</v>
      </c>
      <c r="B18" s="21" t="n">
        <v>62</v>
      </c>
      <c r="C18" s="21" t="n">
        <v>1</v>
      </c>
    </row>
    <row r="19" customFormat="false" ht="19.5" hidden="false" customHeight="true" outlineLevel="0" collapsed="false">
      <c r="A19" s="5" t="s">
        <v>81</v>
      </c>
      <c r="B19" s="21" t="n">
        <v>61</v>
      </c>
      <c r="C19" s="21" t="n">
        <v>0</v>
      </c>
    </row>
  </sheetData>
  <mergeCells count="3">
    <mergeCell ref="A1:C1"/>
    <mergeCell ref="A2:C2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CF6"/>
    <pageSetUpPr fitToPage="false"/>
  </sheetPr>
  <dimension ref="A1:R1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"/>
    <col collapsed="false" customWidth="true" hidden="false" outlineLevel="0" max="3" min="3" style="1" width="8"/>
    <col collapsed="false" customWidth="true" hidden="false" outlineLevel="0" max="4" min="4" style="1" width="7"/>
    <col collapsed="false" customWidth="true" hidden="false" outlineLevel="0" max="5" min="5" style="1" width="12"/>
    <col collapsed="false" customWidth="true" hidden="false" outlineLevel="0" max="12" min="6" style="1" width="14"/>
    <col collapsed="false" customWidth="true" hidden="false" outlineLevel="0" max="13" min="13" style="1" width="16"/>
    <col collapsed="false" customWidth="true" hidden="false" outlineLevel="0" max="15" min="14" style="1" width="18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4"/>
  </cols>
  <sheetData>
    <row r="1" customFormat="false" ht="21.75" hidden="false" customHeight="true" outlineLevel="0" collapsed="false">
      <c r="A1" s="9" t="s">
        <v>82</v>
      </c>
      <c r="B1" s="9" t="s">
        <v>24</v>
      </c>
      <c r="C1" s="9" t="s">
        <v>83</v>
      </c>
      <c r="D1" s="9" t="s">
        <v>84</v>
      </c>
      <c r="E1" s="9" t="s">
        <v>85</v>
      </c>
      <c r="F1" s="9" t="s">
        <v>86</v>
      </c>
      <c r="G1" s="9" t="s">
        <v>87</v>
      </c>
      <c r="H1" s="9" t="s">
        <v>88</v>
      </c>
      <c r="I1" s="9" t="s">
        <v>89</v>
      </c>
      <c r="J1" s="9" t="s">
        <v>90</v>
      </c>
      <c r="K1" s="9" t="s">
        <v>91</v>
      </c>
      <c r="L1" s="9" t="s">
        <v>92</v>
      </c>
      <c r="M1" s="9" t="s">
        <v>65</v>
      </c>
      <c r="N1" s="9" t="s">
        <v>93</v>
      </c>
      <c r="O1" s="9" t="s">
        <v>66</v>
      </c>
      <c r="P1" s="9" t="s">
        <v>94</v>
      </c>
      <c r="Q1" s="9" t="s">
        <v>48</v>
      </c>
      <c r="R1" s="9" t="s">
        <v>25</v>
      </c>
    </row>
    <row r="2" customFormat="false" ht="18" hidden="false" customHeight="true" outlineLevel="0" collapsed="false">
      <c r="A2" s="22" t="s">
        <v>78</v>
      </c>
      <c r="B2" s="22" t="s">
        <v>35</v>
      </c>
      <c r="C2" s="23" t="n">
        <v>0</v>
      </c>
      <c r="D2" s="23" t="n">
        <v>0</v>
      </c>
      <c r="E2" s="23" t="n">
        <f aca="false">input!B5+0</f>
        <v>38</v>
      </c>
      <c r="F2" s="24" t="n">
        <f aca="false">input!B6*12</f>
        <v>57600</v>
      </c>
      <c r="G2" s="24" t="n">
        <f aca="false">input!B7*12</f>
        <v>36000</v>
      </c>
      <c r="H2" s="24" t="n">
        <f aca="false">F2-G2</f>
        <v>21600</v>
      </c>
      <c r="I2" s="24" t="n">
        <f aca="false">input!B11*12+MAX(0, MIN(input!B18, H2/12)) * 12</f>
        <v>33096</v>
      </c>
      <c r="J2" s="24" t="n">
        <f aca="false">calc_is!B13</f>
        <v>147952</v>
      </c>
      <c r="K2" s="24" t="n">
        <f aca="false">J2*(1+input!B14)+I2*((1+input!B14)-1)/input!B14</f>
        <v>191404.64</v>
      </c>
      <c r="L2" s="24" t="n">
        <f aca="false">input!B8</f>
        <v>19124</v>
      </c>
      <c r="M2" s="24" t="n">
        <f aca="false">calc_metrics!B4</f>
        <v>2499900</v>
      </c>
      <c r="N2" s="25" t="str">
        <f aca="false">IF(K2&gt;=M2,"TRUE","FALSE")</f>
        <v>FALSE</v>
      </c>
      <c r="O2" s="26" t="n">
        <f aca="false">IFERROR(K2/M2,0)</f>
        <v>0.0765649185967439</v>
      </c>
      <c r="P2" s="25" t="str">
        <f aca="false">IF(AND(L2&gt;=0,Q2&gt;=6,K2&gt;=M2*0.25),"TRUE","FALSE")</f>
        <v>FALSE</v>
      </c>
      <c r="Q2" s="27" t="n">
        <f aca="false">IFERROR(L2/(input!B7),0)</f>
        <v>6.37466666666667</v>
      </c>
      <c r="R2" s="22" t="s">
        <v>36</v>
      </c>
    </row>
    <row r="3" customFormat="false" ht="18" hidden="false" customHeight="true" outlineLevel="0" collapsed="false">
      <c r="A3" s="22" t="s">
        <v>78</v>
      </c>
      <c r="B3" s="22" t="s">
        <v>35</v>
      </c>
      <c r="C3" s="23" t="n">
        <v>1</v>
      </c>
      <c r="D3" s="23" t="n">
        <v>1</v>
      </c>
      <c r="E3" s="23" t="n">
        <f aca="false">input!B5+1</f>
        <v>39</v>
      </c>
      <c r="F3" s="24" t="n">
        <f aca="false">input!B6*12</f>
        <v>57600</v>
      </c>
      <c r="G3" s="24" t="n">
        <f aca="false">input!B7*12</f>
        <v>36000</v>
      </c>
      <c r="H3" s="24" t="n">
        <f aca="false">F3-G3</f>
        <v>21600</v>
      </c>
      <c r="I3" s="24" t="n">
        <f aca="false">input!B11*12+MAX(0, MIN(input!B18, H3/12)) * 12</f>
        <v>33096</v>
      </c>
      <c r="J3" s="24" t="n">
        <f aca="false">K2</f>
        <v>191404.64</v>
      </c>
      <c r="K3" s="24" t="n">
        <f aca="false">J3*(1+input!B14)+I3*((1+input!B14)-1)/input!B14</f>
        <v>237898.9648</v>
      </c>
      <c r="L3" s="24" t="n">
        <f aca="false">L2+MAX(0,H3/12)</f>
        <v>20924</v>
      </c>
      <c r="M3" s="24" t="n">
        <f aca="false">calc_metrics!B4</f>
        <v>2499900</v>
      </c>
      <c r="N3" s="25" t="str">
        <f aca="false">IF(K3&gt;=M3,"TRUE","FALSE")</f>
        <v>FALSE</v>
      </c>
      <c r="O3" s="26" t="n">
        <f aca="false">IFERROR(K3/M3,0)</f>
        <v>0.0951633924556983</v>
      </c>
      <c r="P3" s="25" t="str">
        <f aca="false">IF(AND(L3&gt;=0,Q3&gt;=6,K3&gt;=M3*0.25),"TRUE","FALSE")</f>
        <v>FALSE</v>
      </c>
      <c r="Q3" s="27" t="n">
        <f aca="false">IFERROR(L3/(input!B7),0)</f>
        <v>6.97466666666667</v>
      </c>
      <c r="R3" s="22" t="s">
        <v>36</v>
      </c>
    </row>
    <row r="4" customFormat="false" ht="18" hidden="false" customHeight="true" outlineLevel="0" collapsed="false">
      <c r="A4" s="22" t="s">
        <v>78</v>
      </c>
      <c r="B4" s="22" t="s">
        <v>35</v>
      </c>
      <c r="C4" s="23" t="n">
        <v>2</v>
      </c>
      <c r="D4" s="23" t="n">
        <v>2</v>
      </c>
      <c r="E4" s="23" t="n">
        <f aca="false">input!B5+2</f>
        <v>40</v>
      </c>
      <c r="F4" s="24" t="n">
        <f aca="false">input!B6*12</f>
        <v>57600</v>
      </c>
      <c r="G4" s="24" t="n">
        <f aca="false">input!B7*12</f>
        <v>36000</v>
      </c>
      <c r="H4" s="24" t="n">
        <f aca="false">F4-G4</f>
        <v>21600</v>
      </c>
      <c r="I4" s="24" t="n">
        <f aca="false">input!B11*12+MAX(0, MIN(input!B18, H4/12)) * 12</f>
        <v>33096</v>
      </c>
      <c r="J4" s="24" t="n">
        <f aca="false">K3</f>
        <v>237898.9648</v>
      </c>
      <c r="K4" s="24" t="n">
        <f aca="false">J4*(1+input!B14)+I4*((1+input!B14)-1)/input!B14</f>
        <v>287647.892336</v>
      </c>
      <c r="L4" s="24" t="n">
        <f aca="false">L3+MAX(0,H4/12)</f>
        <v>22724</v>
      </c>
      <c r="M4" s="24" t="n">
        <f aca="false">calc_metrics!B4</f>
        <v>2499900</v>
      </c>
      <c r="N4" s="25" t="str">
        <f aca="false">IF(K4&gt;=M4,"TRUE","FALSE")</f>
        <v>FALSE</v>
      </c>
      <c r="O4" s="26" t="n">
        <f aca="false">IFERROR(K4/M4,0)</f>
        <v>0.115063759484779</v>
      </c>
      <c r="P4" s="25" t="str">
        <f aca="false">IF(AND(L4&gt;=0,Q4&gt;=6,K4&gt;=M4*0.25),"TRUE","FALSE")</f>
        <v>FALSE</v>
      </c>
      <c r="Q4" s="27" t="n">
        <f aca="false">IFERROR(L4/(input!B7),0)</f>
        <v>7.57466666666667</v>
      </c>
      <c r="R4" s="22" t="s">
        <v>36</v>
      </c>
    </row>
    <row r="5" customFormat="false" ht="18" hidden="false" customHeight="true" outlineLevel="0" collapsed="false">
      <c r="A5" s="22" t="s">
        <v>78</v>
      </c>
      <c r="B5" s="22" t="s">
        <v>35</v>
      </c>
      <c r="C5" s="23" t="n">
        <v>3</v>
      </c>
      <c r="D5" s="23" t="n">
        <v>3</v>
      </c>
      <c r="E5" s="23" t="n">
        <f aca="false">input!B5+3</f>
        <v>41</v>
      </c>
      <c r="F5" s="24" t="n">
        <f aca="false">input!B6*12</f>
        <v>57600</v>
      </c>
      <c r="G5" s="24" t="n">
        <f aca="false">input!B7*12</f>
        <v>36000</v>
      </c>
      <c r="H5" s="24" t="n">
        <f aca="false">F5-G5</f>
        <v>21600</v>
      </c>
      <c r="I5" s="24" t="n">
        <f aca="false">input!B11*12+MAX(0, MIN(input!B18, H5/12)) * 12</f>
        <v>33096</v>
      </c>
      <c r="J5" s="24" t="n">
        <f aca="false">K4</f>
        <v>287647.892336</v>
      </c>
      <c r="K5" s="24" t="n">
        <f aca="false">J5*(1+input!B14)+I5*((1+input!B14)-1)/input!B14</f>
        <v>340879.24479952</v>
      </c>
      <c r="L5" s="24" t="n">
        <f aca="false">L4+MAX(0,H5/12)</f>
        <v>24524</v>
      </c>
      <c r="M5" s="24" t="n">
        <f aca="false">calc_metrics!B4</f>
        <v>2499900</v>
      </c>
      <c r="N5" s="25" t="str">
        <f aca="false">IF(K5&gt;=M5,"TRUE","FALSE")</f>
        <v>FALSE</v>
      </c>
      <c r="O5" s="26" t="n">
        <f aca="false">IFERROR(K5/M5,0)</f>
        <v>0.136357152205896</v>
      </c>
      <c r="P5" s="25" t="str">
        <f aca="false">IF(AND(L5&gt;=0,Q5&gt;=6,K5&gt;=M5*0.25),"TRUE","FALSE")</f>
        <v>FALSE</v>
      </c>
      <c r="Q5" s="27" t="n">
        <f aca="false">IFERROR(L5/(input!B7),0)</f>
        <v>8.17466666666667</v>
      </c>
      <c r="R5" s="22" t="s">
        <v>36</v>
      </c>
    </row>
    <row r="6" customFormat="false" ht="18" hidden="false" customHeight="true" outlineLevel="0" collapsed="false">
      <c r="A6" s="22" t="s">
        <v>78</v>
      </c>
      <c r="B6" s="22" t="s">
        <v>35</v>
      </c>
      <c r="C6" s="23" t="n">
        <v>4</v>
      </c>
      <c r="D6" s="23" t="n">
        <v>4</v>
      </c>
      <c r="E6" s="23" t="n">
        <f aca="false">input!B5+4</f>
        <v>42</v>
      </c>
      <c r="F6" s="24" t="n">
        <f aca="false">input!B6*12</f>
        <v>57600</v>
      </c>
      <c r="G6" s="24" t="n">
        <f aca="false">input!B7*12</f>
        <v>36000</v>
      </c>
      <c r="H6" s="24" t="n">
        <f aca="false">F6-G6</f>
        <v>21600</v>
      </c>
      <c r="I6" s="24" t="n">
        <f aca="false">input!B11*12+MAX(0, MIN(input!B18, H6/12)) * 12</f>
        <v>33096</v>
      </c>
      <c r="J6" s="24" t="n">
        <f aca="false">K5</f>
        <v>340879.24479952</v>
      </c>
      <c r="K6" s="24" t="n">
        <f aca="false">J6*(1+input!B14)+I6*((1+input!B14)-1)/input!B14</f>
        <v>397836.791935487</v>
      </c>
      <c r="L6" s="24" t="n">
        <f aca="false">L5+MAX(0,H6/12)</f>
        <v>26324</v>
      </c>
      <c r="M6" s="24" t="n">
        <f aca="false">calc_metrics!B4</f>
        <v>2499900</v>
      </c>
      <c r="N6" s="25" t="str">
        <f aca="false">IF(K6&gt;=M6,"TRUE","FALSE")</f>
        <v>FALSE</v>
      </c>
      <c r="O6" s="26" t="n">
        <f aca="false">IFERROR(K6/M6,0)</f>
        <v>0.159141082417491</v>
      </c>
      <c r="P6" s="25" t="str">
        <f aca="false">IF(AND(L6&gt;=0,Q6&gt;=6,K6&gt;=M6*0.25),"TRUE","FALSE")</f>
        <v>FALSE</v>
      </c>
      <c r="Q6" s="27" t="n">
        <f aca="false">IFERROR(L6/(input!B7),0)</f>
        <v>8.77466666666667</v>
      </c>
      <c r="R6" s="22" t="s">
        <v>36</v>
      </c>
    </row>
    <row r="7" customFormat="false" ht="18" hidden="false" customHeight="true" outlineLevel="0" collapsed="false">
      <c r="A7" s="22" t="s">
        <v>78</v>
      </c>
      <c r="B7" s="22" t="s">
        <v>35</v>
      </c>
      <c r="C7" s="23" t="n">
        <v>5</v>
      </c>
      <c r="D7" s="23" t="n">
        <v>5</v>
      </c>
      <c r="E7" s="23" t="n">
        <f aca="false">input!B5+5</f>
        <v>43</v>
      </c>
      <c r="F7" s="24" t="n">
        <f aca="false">input!B6*12</f>
        <v>57600</v>
      </c>
      <c r="G7" s="24" t="n">
        <f aca="false">input!B7*12</f>
        <v>36000</v>
      </c>
      <c r="H7" s="24" t="n">
        <f aca="false">F7-G7</f>
        <v>21600</v>
      </c>
      <c r="I7" s="24" t="n">
        <f aca="false">input!B11*12+MAX(0, MIN(input!B18, H7/12)) * 12</f>
        <v>33096</v>
      </c>
      <c r="J7" s="24" t="n">
        <f aca="false">K6</f>
        <v>397836.791935487</v>
      </c>
      <c r="K7" s="24" t="n">
        <f aca="false">J7*(1+input!B14)+I7*((1+input!B14)-1)/input!B14</f>
        <v>458781.367370971</v>
      </c>
      <c r="L7" s="24" t="n">
        <f aca="false">L6+MAX(0,H7/12)</f>
        <v>28124</v>
      </c>
      <c r="M7" s="24" t="n">
        <f aca="false">calc_metrics!B4</f>
        <v>2499900</v>
      </c>
      <c r="N7" s="25" t="str">
        <f aca="false">IF(K7&gt;=M7,"TRUE","FALSE")</f>
        <v>FALSE</v>
      </c>
      <c r="O7" s="26" t="n">
        <f aca="false">IFERROR(K7/M7,0)</f>
        <v>0.183519887743898</v>
      </c>
      <c r="P7" s="25" t="str">
        <f aca="false">IF(AND(L7&gt;=0,Q7&gt;=6,K7&gt;=M7*0.25),"TRUE","FALSE")</f>
        <v>FALSE</v>
      </c>
      <c r="Q7" s="27" t="n">
        <f aca="false">IFERROR(L7/(input!B7),0)</f>
        <v>9.37466666666667</v>
      </c>
      <c r="R7" s="22" t="s">
        <v>36</v>
      </c>
    </row>
    <row r="8" customFormat="false" ht="18" hidden="false" customHeight="true" outlineLevel="0" collapsed="false">
      <c r="A8" s="22" t="s">
        <v>78</v>
      </c>
      <c r="B8" s="22" t="s">
        <v>35</v>
      </c>
      <c r="C8" s="23" t="n">
        <v>6</v>
      </c>
      <c r="D8" s="23" t="n">
        <v>6</v>
      </c>
      <c r="E8" s="23" t="n">
        <f aca="false">input!B5+6</f>
        <v>44</v>
      </c>
      <c r="F8" s="24" t="n">
        <f aca="false">input!B6*12</f>
        <v>57600</v>
      </c>
      <c r="G8" s="24" t="n">
        <f aca="false">input!B7*12</f>
        <v>36000</v>
      </c>
      <c r="H8" s="24" t="n">
        <f aca="false">F8-G8</f>
        <v>21600</v>
      </c>
      <c r="I8" s="24" t="n">
        <f aca="false">input!B11*12+MAX(0, MIN(input!B18, H8/12)) * 12</f>
        <v>33096</v>
      </c>
      <c r="J8" s="24" t="n">
        <f aca="false">K7</f>
        <v>458781.367370971</v>
      </c>
      <c r="K8" s="24" t="n">
        <f aca="false">J8*(1+input!B14)+I8*((1+input!B14)-1)/input!B14</f>
        <v>523992.063086939</v>
      </c>
      <c r="L8" s="24" t="n">
        <f aca="false">L7+MAX(0,H8/12)</f>
        <v>29924</v>
      </c>
      <c r="M8" s="24" t="n">
        <f aca="false">calc_metrics!B4</f>
        <v>2499900</v>
      </c>
      <c r="N8" s="25" t="str">
        <f aca="false">IF(K8&gt;=M8,"TRUE","FALSE")</f>
        <v>FALSE</v>
      </c>
      <c r="O8" s="26" t="n">
        <f aca="false">IFERROR(K8/M8,0)</f>
        <v>0.209605209443153</v>
      </c>
      <c r="P8" s="25" t="str">
        <f aca="false">IF(AND(L8&gt;=0,Q8&gt;=6,K8&gt;=M8*0.25),"TRUE","FALSE")</f>
        <v>FALSE</v>
      </c>
      <c r="Q8" s="27" t="n">
        <f aca="false">IFERROR(L8/(input!B7),0)</f>
        <v>9.97466666666667</v>
      </c>
      <c r="R8" s="22" t="s">
        <v>36</v>
      </c>
    </row>
    <row r="9" customFormat="false" ht="18" hidden="false" customHeight="true" outlineLevel="0" collapsed="false">
      <c r="A9" s="22" t="s">
        <v>78</v>
      </c>
      <c r="B9" s="22" t="s">
        <v>35</v>
      </c>
      <c r="C9" s="23" t="n">
        <v>7</v>
      </c>
      <c r="D9" s="23" t="n">
        <v>7</v>
      </c>
      <c r="E9" s="23" t="n">
        <f aca="false">input!B5+7</f>
        <v>45</v>
      </c>
      <c r="F9" s="24" t="n">
        <f aca="false">input!B6*12</f>
        <v>57600</v>
      </c>
      <c r="G9" s="24" t="n">
        <f aca="false">input!B7*12</f>
        <v>36000</v>
      </c>
      <c r="H9" s="24" t="n">
        <f aca="false">F9-G9</f>
        <v>21600</v>
      </c>
      <c r="I9" s="24" t="n">
        <f aca="false">input!B11*12+MAX(0, MIN(input!B18, H9/12)) * 12</f>
        <v>33096</v>
      </c>
      <c r="J9" s="24" t="n">
        <f aca="false">K8</f>
        <v>523992.063086939</v>
      </c>
      <c r="K9" s="24" t="n">
        <f aca="false">J9*(1+input!B14)+I9*((1+input!B14)-1)/input!B14</f>
        <v>593767.507503024</v>
      </c>
      <c r="L9" s="24" t="n">
        <f aca="false">L8+MAX(0,H9/12)</f>
        <v>31724</v>
      </c>
      <c r="M9" s="24" t="n">
        <f aca="false">calc_metrics!B4</f>
        <v>2499900</v>
      </c>
      <c r="N9" s="25" t="str">
        <f aca="false">IF(K9&gt;=M9,"TRUE","FALSE")</f>
        <v>FALSE</v>
      </c>
      <c r="O9" s="26" t="n">
        <f aca="false">IFERROR(K9/M9,0)</f>
        <v>0.237516503661356</v>
      </c>
      <c r="P9" s="25" t="str">
        <f aca="false">IF(AND(L9&gt;=0,Q9&gt;=6,K9&gt;=M9*0.25),"TRUE","FALSE")</f>
        <v>FALSE</v>
      </c>
      <c r="Q9" s="27" t="n">
        <f aca="false">IFERROR(L9/(input!B7),0)</f>
        <v>10.5746666666667</v>
      </c>
      <c r="R9" s="22" t="s">
        <v>36</v>
      </c>
    </row>
    <row r="10" customFormat="false" ht="18" hidden="false" customHeight="true" outlineLevel="0" collapsed="false">
      <c r="A10" s="22" t="s">
        <v>78</v>
      </c>
      <c r="B10" s="22" t="s">
        <v>35</v>
      </c>
      <c r="C10" s="23" t="n">
        <v>8</v>
      </c>
      <c r="D10" s="23" t="n">
        <v>8</v>
      </c>
      <c r="E10" s="23" t="n">
        <f aca="false">input!B5+8</f>
        <v>46</v>
      </c>
      <c r="F10" s="24" t="n">
        <f aca="false">input!B6*12</f>
        <v>57600</v>
      </c>
      <c r="G10" s="24" t="n">
        <f aca="false">input!B7*12</f>
        <v>36000</v>
      </c>
      <c r="H10" s="24" t="n">
        <f aca="false">F10-G10</f>
        <v>21600</v>
      </c>
      <c r="I10" s="24" t="n">
        <f aca="false">input!B11*12+MAX(0, MIN(input!B18, H10/12)) * 12</f>
        <v>33096</v>
      </c>
      <c r="J10" s="24" t="n">
        <f aca="false">K9</f>
        <v>593767.507503024</v>
      </c>
      <c r="K10" s="24" t="n">
        <f aca="false">J10*(1+input!B14)+I10*((1+input!B14)-1)/input!B14</f>
        <v>668427.233028236</v>
      </c>
      <c r="L10" s="24" t="n">
        <f aca="false">L9+MAX(0,H10/12)</f>
        <v>33524</v>
      </c>
      <c r="M10" s="24" t="n">
        <f aca="false">calc_metrics!B4</f>
        <v>2499900</v>
      </c>
      <c r="N10" s="25" t="str">
        <f aca="false">IF(K10&gt;=M10,"TRUE","FALSE")</f>
        <v>FALSE</v>
      </c>
      <c r="O10" s="26" t="n">
        <f aca="false">IFERROR(K10/M10,0)</f>
        <v>0.267381588474833</v>
      </c>
      <c r="P10" s="25" t="str">
        <f aca="false">IF(AND(L10&gt;=0,Q10&gt;=6,K10&gt;=M10*0.25),"TRUE","FALSE")</f>
        <v>TRUE</v>
      </c>
      <c r="Q10" s="27" t="n">
        <f aca="false">IFERROR(L10/(input!B7),0)</f>
        <v>11.1746666666667</v>
      </c>
      <c r="R10" s="22" t="s">
        <v>36</v>
      </c>
    </row>
    <row r="11" customFormat="false" ht="18" hidden="false" customHeight="true" outlineLevel="0" collapsed="false">
      <c r="A11" s="22" t="s">
        <v>78</v>
      </c>
      <c r="B11" s="22" t="s">
        <v>35</v>
      </c>
      <c r="C11" s="23" t="n">
        <v>9</v>
      </c>
      <c r="D11" s="23" t="n">
        <v>9</v>
      </c>
      <c r="E11" s="23" t="n">
        <f aca="false">input!B5+9</f>
        <v>47</v>
      </c>
      <c r="F11" s="24" t="n">
        <f aca="false">input!B6*12</f>
        <v>57600</v>
      </c>
      <c r="G11" s="24" t="n">
        <f aca="false">input!B7*12</f>
        <v>36000</v>
      </c>
      <c r="H11" s="24" t="n">
        <f aca="false">F11-G11</f>
        <v>21600</v>
      </c>
      <c r="I11" s="24" t="n">
        <f aca="false">input!B11*12+MAX(0, MIN(input!B18, H11/12)) * 12</f>
        <v>33096</v>
      </c>
      <c r="J11" s="24" t="n">
        <f aca="false">K10</f>
        <v>668427.233028236</v>
      </c>
      <c r="K11" s="24" t="n">
        <f aca="false">J11*(1+input!B14)+I11*((1+input!B14)-1)/input!B14</f>
        <v>748313.139340213</v>
      </c>
      <c r="L11" s="24" t="n">
        <f aca="false">L10+MAX(0,H11/12)</f>
        <v>35324</v>
      </c>
      <c r="M11" s="24" t="n">
        <f aca="false">calc_metrics!B4</f>
        <v>2499900</v>
      </c>
      <c r="N11" s="25" t="str">
        <f aca="false">IF(K11&gt;=M11,"TRUE","FALSE")</f>
        <v>FALSE</v>
      </c>
      <c r="O11" s="26" t="n">
        <f aca="false">IFERROR(K11/M11,0)</f>
        <v>0.299337229225254</v>
      </c>
      <c r="P11" s="25" t="str">
        <f aca="false">IF(AND(L11&gt;=0,Q11&gt;=6,K11&gt;=M11*0.25),"TRUE","FALSE")</f>
        <v>TRUE</v>
      </c>
      <c r="Q11" s="27" t="n">
        <f aca="false">IFERROR(L11/(input!B7),0)</f>
        <v>11.7746666666667</v>
      </c>
      <c r="R11" s="22" t="s">
        <v>36</v>
      </c>
    </row>
    <row r="12" customFormat="false" ht="18" hidden="false" customHeight="true" outlineLevel="0" collapsed="false">
      <c r="A12" s="22" t="s">
        <v>78</v>
      </c>
      <c r="B12" s="22" t="s">
        <v>35</v>
      </c>
      <c r="C12" s="23" t="n">
        <v>10</v>
      </c>
      <c r="D12" s="23" t="n">
        <v>10</v>
      </c>
      <c r="E12" s="23" t="n">
        <f aca="false">input!B5+10</f>
        <v>48</v>
      </c>
      <c r="F12" s="24" t="n">
        <f aca="false">input!B6*12</f>
        <v>57600</v>
      </c>
      <c r="G12" s="24" t="n">
        <f aca="false">input!B7*12</f>
        <v>36000</v>
      </c>
      <c r="H12" s="24" t="n">
        <f aca="false">F12-G12</f>
        <v>21600</v>
      </c>
      <c r="I12" s="24" t="n">
        <f aca="false">input!B11*12+MAX(0, MIN(input!B18, H12/12)) * 12</f>
        <v>33096</v>
      </c>
      <c r="J12" s="24" t="n">
        <f aca="false">K11</f>
        <v>748313.139340213</v>
      </c>
      <c r="K12" s="24" t="n">
        <f aca="false">J12*(1+input!B14)+I12*((1+input!B14)-1)/input!B14</f>
        <v>833791.059094028</v>
      </c>
      <c r="L12" s="24" t="n">
        <f aca="false">L11+MAX(0,H12/12)</f>
        <v>37124</v>
      </c>
      <c r="M12" s="24" t="n">
        <f aca="false">calc_metrics!B4</f>
        <v>2499900</v>
      </c>
      <c r="N12" s="25" t="str">
        <f aca="false">IF(K12&gt;=M12,"TRUE","FALSE")</f>
        <v>FALSE</v>
      </c>
      <c r="O12" s="26" t="n">
        <f aca="false">IFERROR(K12/M12,0)</f>
        <v>0.333529764828204</v>
      </c>
      <c r="P12" s="25" t="str">
        <f aca="false">IF(AND(L12&gt;=0,Q12&gt;=6,K12&gt;=M12*0.25),"TRUE","FALSE")</f>
        <v>TRUE</v>
      </c>
      <c r="Q12" s="27" t="n">
        <f aca="false">IFERROR(L12/(input!B7),0)</f>
        <v>12.3746666666667</v>
      </c>
      <c r="R12" s="22" t="s">
        <v>36</v>
      </c>
    </row>
    <row r="13" customFormat="false" ht="18" hidden="false" customHeight="true" outlineLevel="0" collapsed="false">
      <c r="A13" s="22" t="s">
        <v>78</v>
      </c>
      <c r="B13" s="22" t="s">
        <v>35</v>
      </c>
      <c r="C13" s="23" t="n">
        <v>11</v>
      </c>
      <c r="D13" s="23" t="n">
        <v>11</v>
      </c>
      <c r="E13" s="23" t="n">
        <f aca="false">input!B5+11</f>
        <v>49</v>
      </c>
      <c r="F13" s="24" t="n">
        <f aca="false">input!B6*12</f>
        <v>57600</v>
      </c>
      <c r="G13" s="24" t="n">
        <f aca="false">input!B7*12</f>
        <v>36000</v>
      </c>
      <c r="H13" s="24" t="n">
        <f aca="false">F13-G13</f>
        <v>21600</v>
      </c>
      <c r="I13" s="24" t="n">
        <f aca="false">input!B11*12+MAX(0, MIN(input!B18, H13/12)) * 12</f>
        <v>33096</v>
      </c>
      <c r="J13" s="24" t="n">
        <f aca="false">K12</f>
        <v>833791.059094028</v>
      </c>
      <c r="K13" s="24" t="n">
        <f aca="false">J13*(1+input!B14)+I13*((1+input!B14)-1)/input!B14</f>
        <v>925252.43323061</v>
      </c>
      <c r="L13" s="24" t="n">
        <f aca="false">L12+MAX(0,H13/12)</f>
        <v>38924</v>
      </c>
      <c r="M13" s="24" t="n">
        <f aca="false">calc_metrics!B4</f>
        <v>2499900</v>
      </c>
      <c r="N13" s="25" t="str">
        <f aca="false">IF(K13&gt;=M13,"TRUE","FALSE")</f>
        <v>FALSE</v>
      </c>
      <c r="O13" s="26" t="n">
        <f aca="false">IFERROR(K13/M13,0)</f>
        <v>0.370115777923361</v>
      </c>
      <c r="P13" s="25" t="str">
        <f aca="false">IF(AND(L13&gt;=0,Q13&gt;=6,K13&gt;=M13*0.25),"TRUE","FALSE")</f>
        <v>TRUE</v>
      </c>
      <c r="Q13" s="27" t="n">
        <f aca="false">IFERROR(L13/(input!B7),0)</f>
        <v>12.9746666666667</v>
      </c>
      <c r="R13" s="22" t="s">
        <v>36</v>
      </c>
    </row>
    <row r="14" customFormat="false" ht="18" hidden="false" customHeight="true" outlineLevel="0" collapsed="false">
      <c r="A14" s="22" t="s">
        <v>78</v>
      </c>
      <c r="B14" s="22" t="s">
        <v>35</v>
      </c>
      <c r="C14" s="23" t="n">
        <v>12</v>
      </c>
      <c r="D14" s="23" t="n">
        <v>12</v>
      </c>
      <c r="E14" s="23" t="n">
        <f aca="false">input!B5+12</f>
        <v>50</v>
      </c>
      <c r="F14" s="24" t="n">
        <f aca="false">input!B6*12</f>
        <v>57600</v>
      </c>
      <c r="G14" s="24" t="n">
        <f aca="false">input!B7*12</f>
        <v>36000</v>
      </c>
      <c r="H14" s="24" t="n">
        <f aca="false">F14-G14</f>
        <v>21600</v>
      </c>
      <c r="I14" s="24" t="n">
        <f aca="false">input!B11*12+MAX(0, MIN(input!B18, H14/12)) * 12</f>
        <v>33096</v>
      </c>
      <c r="J14" s="24" t="n">
        <f aca="false">K13</f>
        <v>925252.43323061</v>
      </c>
      <c r="K14" s="24" t="n">
        <f aca="false">J14*(1+input!B14)+I14*((1+input!B14)-1)/input!B14</f>
        <v>1023116.10355675</v>
      </c>
      <c r="L14" s="24" t="n">
        <f aca="false">L13+MAX(0,H14/12)</f>
        <v>40724</v>
      </c>
      <c r="M14" s="24" t="n">
        <f aca="false">calc_metrics!B4</f>
        <v>2499900</v>
      </c>
      <c r="N14" s="25" t="str">
        <f aca="false">IF(K14&gt;=M14,"TRUE","FALSE")</f>
        <v>FALSE</v>
      </c>
      <c r="O14" s="26" t="n">
        <f aca="false">IFERROR(K14/M14,0)</f>
        <v>0.409262811935178</v>
      </c>
      <c r="P14" s="25" t="str">
        <f aca="false">IF(AND(L14&gt;=0,Q14&gt;=6,K14&gt;=M14*0.25),"TRUE","FALSE")</f>
        <v>TRUE</v>
      </c>
      <c r="Q14" s="27" t="n">
        <f aca="false">IFERROR(L14/(input!B7),0)</f>
        <v>13.5746666666667</v>
      </c>
      <c r="R14" s="22" t="s">
        <v>36</v>
      </c>
    </row>
    <row r="15" customFormat="false" ht="18" hidden="false" customHeight="true" outlineLevel="0" collapsed="false">
      <c r="A15" s="22" t="s">
        <v>78</v>
      </c>
      <c r="B15" s="22" t="s">
        <v>35</v>
      </c>
      <c r="C15" s="23" t="n">
        <v>13</v>
      </c>
      <c r="D15" s="23" t="n">
        <v>13</v>
      </c>
      <c r="E15" s="23" t="n">
        <f aca="false">input!B5+13</f>
        <v>51</v>
      </c>
      <c r="F15" s="24" t="n">
        <f aca="false">input!B6*12</f>
        <v>57600</v>
      </c>
      <c r="G15" s="24" t="n">
        <f aca="false">input!B7*12</f>
        <v>36000</v>
      </c>
      <c r="H15" s="24" t="n">
        <f aca="false">F15-G15</f>
        <v>21600</v>
      </c>
      <c r="I15" s="24" t="n">
        <f aca="false">input!B11*12+MAX(0, MIN(input!B18, H15/12)) * 12</f>
        <v>33096</v>
      </c>
      <c r="J15" s="24" t="n">
        <f aca="false">K14</f>
        <v>1023116.10355675</v>
      </c>
      <c r="K15" s="24" t="n">
        <f aca="false">J15*(1+input!B14)+I15*((1+input!B14)-1)/input!B14</f>
        <v>1127830.23080573</v>
      </c>
      <c r="L15" s="24" t="n">
        <f aca="false">L14+MAX(0,H15/12)</f>
        <v>42524</v>
      </c>
      <c r="M15" s="24" t="n">
        <f aca="false">calc_metrics!B4</f>
        <v>2499900</v>
      </c>
      <c r="N15" s="25" t="str">
        <f aca="false">IF(K15&gt;=M15,"TRUE","FALSE")</f>
        <v>FALSE</v>
      </c>
      <c r="O15" s="26" t="n">
        <f aca="false">IFERROR(K15/M15,0)</f>
        <v>0.451150138327823</v>
      </c>
      <c r="P15" s="25" t="str">
        <f aca="false">IF(AND(L15&gt;=0,Q15&gt;=6,K15&gt;=M15*0.25),"TRUE","FALSE")</f>
        <v>TRUE</v>
      </c>
      <c r="Q15" s="27" t="n">
        <f aca="false">IFERROR(L15/(input!B7),0)</f>
        <v>14.1746666666667</v>
      </c>
      <c r="R15" s="22" t="s">
        <v>36</v>
      </c>
    </row>
    <row r="16" customFormat="false" ht="18" hidden="false" customHeight="true" outlineLevel="0" collapsed="false">
      <c r="A16" s="22" t="s">
        <v>78</v>
      </c>
      <c r="B16" s="22" t="s">
        <v>35</v>
      </c>
      <c r="C16" s="23" t="n">
        <v>14</v>
      </c>
      <c r="D16" s="23" t="n">
        <v>14</v>
      </c>
      <c r="E16" s="23" t="n">
        <f aca="false">input!B5+14</f>
        <v>52</v>
      </c>
      <c r="F16" s="24" t="n">
        <f aca="false">input!B6*12</f>
        <v>57600</v>
      </c>
      <c r="G16" s="24" t="n">
        <f aca="false">input!B7*12</f>
        <v>36000</v>
      </c>
      <c r="H16" s="24" t="n">
        <f aca="false">F16-G16</f>
        <v>21600</v>
      </c>
      <c r="I16" s="24" t="n">
        <f aca="false">input!B11*12+MAX(0, MIN(input!B18, H16/12)) * 12</f>
        <v>33096</v>
      </c>
      <c r="J16" s="24" t="n">
        <f aca="false">K15</f>
        <v>1127830.23080573</v>
      </c>
      <c r="K16" s="24" t="n">
        <f aca="false">J16*(1+input!B14)+I16*((1+input!B14)-1)/input!B14</f>
        <v>1239874.34696213</v>
      </c>
      <c r="L16" s="24" t="n">
        <f aca="false">L15+MAX(0,H16/12)</f>
        <v>44324</v>
      </c>
      <c r="M16" s="24" t="n">
        <f aca="false">calc_metrics!B4</f>
        <v>2499900</v>
      </c>
      <c r="N16" s="25" t="str">
        <f aca="false">IF(K16&gt;=M16,"TRUE","FALSE")</f>
        <v>FALSE</v>
      </c>
      <c r="O16" s="26" t="n">
        <f aca="false">IFERROR(K16/M16,0)</f>
        <v>0.495969577567953</v>
      </c>
      <c r="P16" s="25" t="str">
        <f aca="false">IF(AND(L16&gt;=0,Q16&gt;=6,K16&gt;=M16*0.25),"TRUE","FALSE")</f>
        <v>TRUE</v>
      </c>
      <c r="Q16" s="27" t="n">
        <f aca="false">IFERROR(L16/(input!B7),0)</f>
        <v>14.7746666666667</v>
      </c>
      <c r="R16" s="22" t="s">
        <v>36</v>
      </c>
    </row>
    <row r="17" customFormat="false" ht="18" hidden="false" customHeight="true" outlineLevel="0" collapsed="false">
      <c r="A17" s="22" t="s">
        <v>78</v>
      </c>
      <c r="B17" s="22" t="s">
        <v>35</v>
      </c>
      <c r="C17" s="23" t="n">
        <v>15</v>
      </c>
      <c r="D17" s="23" t="n">
        <v>15</v>
      </c>
      <c r="E17" s="23" t="n">
        <f aca="false">input!B5+15</f>
        <v>53</v>
      </c>
      <c r="F17" s="24" t="n">
        <f aca="false">input!B6*12</f>
        <v>57600</v>
      </c>
      <c r="G17" s="24" t="n">
        <f aca="false">input!B7*12</f>
        <v>36000</v>
      </c>
      <c r="H17" s="24" t="n">
        <f aca="false">F17-G17</f>
        <v>21600</v>
      </c>
      <c r="I17" s="24" t="n">
        <f aca="false">input!B11*12+MAX(0, MIN(input!B18, H17/12)) * 12</f>
        <v>33096</v>
      </c>
      <c r="J17" s="24" t="n">
        <f aca="false">K16</f>
        <v>1239874.34696213</v>
      </c>
      <c r="K17" s="24" t="n">
        <f aca="false">J17*(1+input!B14)+I17*((1+input!B14)-1)/input!B14</f>
        <v>1359761.55124947</v>
      </c>
      <c r="L17" s="24" t="n">
        <f aca="false">L16+MAX(0,H17/12)</f>
        <v>46124</v>
      </c>
      <c r="M17" s="24" t="n">
        <f aca="false">calc_metrics!B4</f>
        <v>2499900</v>
      </c>
      <c r="N17" s="25" t="str">
        <f aca="false">IF(K17&gt;=M17,"TRUE","FALSE")</f>
        <v>FALSE</v>
      </c>
      <c r="O17" s="26" t="n">
        <f aca="false">IFERROR(K17/M17,0)</f>
        <v>0.543926377554892</v>
      </c>
      <c r="P17" s="25" t="str">
        <f aca="false">IF(AND(L17&gt;=0,Q17&gt;=6,K17&gt;=M17*0.25),"TRUE","FALSE")</f>
        <v>TRUE</v>
      </c>
      <c r="Q17" s="27" t="n">
        <f aca="false">IFERROR(L17/(input!B7),0)</f>
        <v>15.3746666666667</v>
      </c>
      <c r="R17" s="22" t="s">
        <v>36</v>
      </c>
    </row>
    <row r="18" customFormat="false" ht="18" hidden="false" customHeight="true" outlineLevel="0" collapsed="false">
      <c r="A18" s="22" t="s">
        <v>78</v>
      </c>
      <c r="B18" s="22" t="s">
        <v>35</v>
      </c>
      <c r="C18" s="23" t="n">
        <v>16</v>
      </c>
      <c r="D18" s="23" t="n">
        <v>16</v>
      </c>
      <c r="E18" s="23" t="n">
        <f aca="false">input!B5+16</f>
        <v>54</v>
      </c>
      <c r="F18" s="24" t="n">
        <f aca="false">input!B6*12</f>
        <v>57600</v>
      </c>
      <c r="G18" s="24" t="n">
        <f aca="false">input!B7*12</f>
        <v>36000</v>
      </c>
      <c r="H18" s="24" t="n">
        <f aca="false">F18-G18</f>
        <v>21600</v>
      </c>
      <c r="I18" s="24" t="n">
        <f aca="false">input!B11*12+MAX(0, MIN(input!B18, H18/12)) * 12</f>
        <v>33096</v>
      </c>
      <c r="J18" s="24" t="n">
        <f aca="false">K17</f>
        <v>1359761.55124947</v>
      </c>
      <c r="K18" s="24" t="n">
        <f aca="false">J18*(1+input!B14)+I18*((1+input!B14)-1)/input!B14</f>
        <v>1488040.85983694</v>
      </c>
      <c r="L18" s="24" t="n">
        <f aca="false">L17+MAX(0,H18/12)</f>
        <v>47924</v>
      </c>
      <c r="M18" s="24" t="n">
        <f aca="false">calc_metrics!B4</f>
        <v>2499900</v>
      </c>
      <c r="N18" s="25" t="str">
        <f aca="false">IF(K18&gt;=M18,"TRUE","FALSE")</f>
        <v>FALSE</v>
      </c>
      <c r="O18" s="26" t="n">
        <f aca="false">IFERROR(K18/M18,0)</f>
        <v>0.595240153540917</v>
      </c>
      <c r="P18" s="25" t="str">
        <f aca="false">IF(AND(L18&gt;=0,Q18&gt;=6,K18&gt;=M18*0.25),"TRUE","FALSE")</f>
        <v>TRUE</v>
      </c>
      <c r="Q18" s="27" t="n">
        <f aca="false">IFERROR(L18/(input!B7),0)</f>
        <v>15.9746666666667</v>
      </c>
      <c r="R18" s="22" t="s">
        <v>36</v>
      </c>
    </row>
    <row r="19" customFormat="false" ht="18" hidden="false" customHeight="true" outlineLevel="0" collapsed="false">
      <c r="A19" s="22" t="s">
        <v>78</v>
      </c>
      <c r="B19" s="22" t="s">
        <v>35</v>
      </c>
      <c r="C19" s="23" t="n">
        <v>17</v>
      </c>
      <c r="D19" s="23" t="n">
        <v>17</v>
      </c>
      <c r="E19" s="23" t="n">
        <f aca="false">input!B5+17</f>
        <v>55</v>
      </c>
      <c r="F19" s="24" t="n">
        <f aca="false">input!B6*12</f>
        <v>57600</v>
      </c>
      <c r="G19" s="24" t="n">
        <f aca="false">input!B7*12</f>
        <v>36000</v>
      </c>
      <c r="H19" s="24" t="n">
        <f aca="false">F19-G19</f>
        <v>21600</v>
      </c>
      <c r="I19" s="24" t="n">
        <f aca="false">input!B11*12+MAX(0, MIN(input!B18, H19/12)) * 12</f>
        <v>33096</v>
      </c>
      <c r="J19" s="24" t="n">
        <f aca="false">K18</f>
        <v>1488040.85983694</v>
      </c>
      <c r="K19" s="24" t="n">
        <f aca="false">J19*(1+input!B14)+I19*((1+input!B14)-1)/input!B14</f>
        <v>1625299.72002552</v>
      </c>
      <c r="L19" s="24" t="n">
        <f aca="false">L18+MAX(0,H19/12)</f>
        <v>49724</v>
      </c>
      <c r="M19" s="24" t="n">
        <f aca="false">calc_metrics!B4</f>
        <v>2499900</v>
      </c>
      <c r="N19" s="25" t="str">
        <f aca="false">IF(K19&gt;=M19,"TRUE","FALSE")</f>
        <v>FALSE</v>
      </c>
      <c r="O19" s="26" t="n">
        <f aca="false">IFERROR(K19/M19,0)</f>
        <v>0.650145893845963</v>
      </c>
      <c r="P19" s="25" t="str">
        <f aca="false">IF(AND(L19&gt;=0,Q19&gt;=6,K19&gt;=M19*0.25),"TRUE","FALSE")</f>
        <v>TRUE</v>
      </c>
      <c r="Q19" s="27" t="n">
        <f aca="false">IFERROR(L19/(input!B7),0)</f>
        <v>16.5746666666667</v>
      </c>
      <c r="R19" s="22" t="s">
        <v>36</v>
      </c>
    </row>
    <row r="20" customFormat="false" ht="18" hidden="false" customHeight="true" outlineLevel="0" collapsed="false">
      <c r="A20" s="22" t="s">
        <v>78</v>
      </c>
      <c r="B20" s="22" t="s">
        <v>35</v>
      </c>
      <c r="C20" s="23" t="n">
        <v>18</v>
      </c>
      <c r="D20" s="23" t="n">
        <v>18</v>
      </c>
      <c r="E20" s="23" t="n">
        <f aca="false">input!B5+18</f>
        <v>56</v>
      </c>
      <c r="F20" s="24" t="n">
        <f aca="false">input!B6*12</f>
        <v>57600</v>
      </c>
      <c r="G20" s="24" t="n">
        <f aca="false">input!B7*12</f>
        <v>36000</v>
      </c>
      <c r="H20" s="24" t="n">
        <f aca="false">F20-G20</f>
        <v>21600</v>
      </c>
      <c r="I20" s="24" t="n">
        <f aca="false">input!B11*12+MAX(0, MIN(input!B18, H20/12)) * 12</f>
        <v>33096</v>
      </c>
      <c r="J20" s="24" t="n">
        <f aca="false">K19</f>
        <v>1625299.72002552</v>
      </c>
      <c r="K20" s="24" t="n">
        <f aca="false">J20*(1+input!B14)+I20*((1+input!B14)-1)/input!B14</f>
        <v>1772166.70042731</v>
      </c>
      <c r="L20" s="24" t="n">
        <f aca="false">L19+MAX(0,H20/12)</f>
        <v>51524</v>
      </c>
      <c r="M20" s="24" t="n">
        <f aca="false">calc_metrics!B4</f>
        <v>2499900</v>
      </c>
      <c r="N20" s="25" t="str">
        <f aca="false">IF(K20&gt;=M20,"TRUE","FALSE")</f>
        <v>FALSE</v>
      </c>
      <c r="O20" s="26" t="n">
        <f aca="false">IFERROR(K20/M20,0)</f>
        <v>0.708895035972363</v>
      </c>
      <c r="P20" s="25" t="str">
        <f aca="false">IF(AND(L20&gt;=0,Q20&gt;=6,K20&gt;=M20*0.25),"TRUE","FALSE")</f>
        <v>TRUE</v>
      </c>
      <c r="Q20" s="27" t="n">
        <f aca="false">IFERROR(L20/(input!B7),0)</f>
        <v>17.1746666666667</v>
      </c>
      <c r="R20" s="22" t="s">
        <v>36</v>
      </c>
    </row>
    <row r="21" customFormat="false" ht="18" hidden="false" customHeight="true" outlineLevel="0" collapsed="false">
      <c r="A21" s="22" t="s">
        <v>78</v>
      </c>
      <c r="B21" s="22" t="s">
        <v>35</v>
      </c>
      <c r="C21" s="23" t="n">
        <v>19</v>
      </c>
      <c r="D21" s="23" t="n">
        <v>19</v>
      </c>
      <c r="E21" s="23" t="n">
        <f aca="false">input!B5+19</f>
        <v>57</v>
      </c>
      <c r="F21" s="24" t="n">
        <f aca="false">input!B6*12</f>
        <v>57600</v>
      </c>
      <c r="G21" s="24" t="n">
        <f aca="false">input!B7*12</f>
        <v>36000</v>
      </c>
      <c r="H21" s="24" t="n">
        <f aca="false">F21-G21</f>
        <v>21600</v>
      </c>
      <c r="I21" s="24" t="n">
        <f aca="false">input!B11*12+MAX(0, MIN(input!B18, H21/12)) * 12</f>
        <v>33096</v>
      </c>
      <c r="J21" s="24" t="n">
        <f aca="false">K20</f>
        <v>1772166.70042731</v>
      </c>
      <c r="K21" s="24" t="n">
        <f aca="false">J21*(1+input!B14)+I21*((1+input!B14)-1)/input!B14</f>
        <v>1929314.36945722</v>
      </c>
      <c r="L21" s="24" t="n">
        <f aca="false">L20+MAX(0,H21/12)</f>
        <v>53324</v>
      </c>
      <c r="M21" s="24" t="n">
        <f aca="false">calc_metrics!B4</f>
        <v>2499900</v>
      </c>
      <c r="N21" s="25" t="str">
        <f aca="false">IF(K21&gt;=M21,"TRUE","FALSE")</f>
        <v>FALSE</v>
      </c>
      <c r="O21" s="26" t="n">
        <f aca="false">IFERROR(K21/M21,0)</f>
        <v>0.771756618047611</v>
      </c>
      <c r="P21" s="25" t="str">
        <f aca="false">IF(AND(L21&gt;=0,Q21&gt;=6,K21&gt;=M21*0.25),"TRUE","FALSE")</f>
        <v>TRUE</v>
      </c>
      <c r="Q21" s="27" t="n">
        <f aca="false">IFERROR(L21/(input!B7),0)</f>
        <v>17.7746666666667</v>
      </c>
      <c r="R21" s="22" t="s">
        <v>36</v>
      </c>
    </row>
    <row r="22" customFormat="false" ht="18" hidden="false" customHeight="true" outlineLevel="0" collapsed="false">
      <c r="A22" s="22" t="s">
        <v>78</v>
      </c>
      <c r="B22" s="22" t="s">
        <v>35</v>
      </c>
      <c r="C22" s="23" t="n">
        <v>20</v>
      </c>
      <c r="D22" s="23" t="n">
        <v>20</v>
      </c>
      <c r="E22" s="23" t="n">
        <f aca="false">input!B5+20</f>
        <v>58</v>
      </c>
      <c r="F22" s="24" t="n">
        <f aca="false">input!B6*12</f>
        <v>57600</v>
      </c>
      <c r="G22" s="24" t="n">
        <f aca="false">input!B7*12</f>
        <v>36000</v>
      </c>
      <c r="H22" s="24" t="n">
        <f aca="false">F22-G22</f>
        <v>21600</v>
      </c>
      <c r="I22" s="24" t="n">
        <f aca="false">input!B11*12+MAX(0, MIN(input!B18, H22/12)) * 12</f>
        <v>33096</v>
      </c>
      <c r="J22" s="24" t="n">
        <f aca="false">K21</f>
        <v>1929314.36945722</v>
      </c>
      <c r="K22" s="24" t="n">
        <f aca="false">J22*(1+input!B14)+I22*((1+input!B14)-1)/input!B14</f>
        <v>2097462.37531923</v>
      </c>
      <c r="L22" s="24" t="n">
        <f aca="false">L21+MAX(0,H22/12)</f>
        <v>55124</v>
      </c>
      <c r="M22" s="24" t="n">
        <f aca="false">calc_metrics!B4</f>
        <v>2499900</v>
      </c>
      <c r="N22" s="25" t="str">
        <f aca="false">IF(K22&gt;=M22,"TRUE","FALSE")</f>
        <v>FALSE</v>
      </c>
      <c r="O22" s="26" t="n">
        <f aca="false">IFERROR(K22/M22,0)</f>
        <v>0.839018510868126</v>
      </c>
      <c r="P22" s="25" t="str">
        <f aca="false">IF(AND(L22&gt;=0,Q22&gt;=6,K22&gt;=M22*0.25),"TRUE","FALSE")</f>
        <v>TRUE</v>
      </c>
      <c r="Q22" s="27" t="n">
        <f aca="false">IFERROR(L22/(input!B7),0)</f>
        <v>18.3746666666667</v>
      </c>
      <c r="R22" s="22" t="s">
        <v>36</v>
      </c>
    </row>
    <row r="23" customFormat="false" ht="18" hidden="false" customHeight="true" outlineLevel="0" collapsed="false">
      <c r="A23" s="22" t="s">
        <v>78</v>
      </c>
      <c r="B23" s="22" t="s">
        <v>35</v>
      </c>
      <c r="C23" s="23" t="n">
        <v>21</v>
      </c>
      <c r="D23" s="23" t="n">
        <v>21</v>
      </c>
      <c r="E23" s="23" t="n">
        <f aca="false">input!B5+21</f>
        <v>59</v>
      </c>
      <c r="F23" s="24" t="n">
        <f aca="false">input!B6*12</f>
        <v>57600</v>
      </c>
      <c r="G23" s="24" t="n">
        <f aca="false">input!B7*12</f>
        <v>36000</v>
      </c>
      <c r="H23" s="24" t="n">
        <f aca="false">F23-G23</f>
        <v>21600</v>
      </c>
      <c r="I23" s="24" t="n">
        <f aca="false">input!B11*12+MAX(0, MIN(input!B18, H23/12)) * 12</f>
        <v>33096</v>
      </c>
      <c r="J23" s="24" t="n">
        <f aca="false">K22</f>
        <v>2097462.37531923</v>
      </c>
      <c r="K23" s="24" t="n">
        <f aca="false">J23*(1+input!B14)+I23*((1+input!B14)-1)/input!B14</f>
        <v>2277380.74159157</v>
      </c>
      <c r="L23" s="24" t="n">
        <f aca="false">L22+MAX(0,H23/12)</f>
        <v>56924</v>
      </c>
      <c r="M23" s="24" t="n">
        <f aca="false">calc_metrics!B4</f>
        <v>2499900</v>
      </c>
      <c r="N23" s="25" t="str">
        <f aca="false">IF(K23&gt;=M23,"TRUE","FALSE")</f>
        <v>FALSE</v>
      </c>
      <c r="O23" s="26" t="n">
        <f aca="false">IFERROR(K23/M23,0)</f>
        <v>0.910988736186077</v>
      </c>
      <c r="P23" s="25" t="str">
        <f aca="false">IF(AND(L23&gt;=0,Q23&gt;=6,K23&gt;=M23*0.25),"TRUE","FALSE")</f>
        <v>TRUE</v>
      </c>
      <c r="Q23" s="27" t="n">
        <f aca="false">IFERROR(L23/(input!B7),0)</f>
        <v>18.9746666666667</v>
      </c>
      <c r="R23" s="22" t="s">
        <v>36</v>
      </c>
    </row>
    <row r="24" customFormat="false" ht="18" hidden="false" customHeight="true" outlineLevel="0" collapsed="false">
      <c r="A24" s="22" t="s">
        <v>78</v>
      </c>
      <c r="B24" s="22" t="s">
        <v>35</v>
      </c>
      <c r="C24" s="23" t="n">
        <v>22</v>
      </c>
      <c r="D24" s="23" t="n">
        <v>22</v>
      </c>
      <c r="E24" s="23" t="n">
        <f aca="false">input!B5+22</f>
        <v>60</v>
      </c>
      <c r="F24" s="24" t="n">
        <f aca="false">input!B6*12</f>
        <v>57600</v>
      </c>
      <c r="G24" s="24" t="n">
        <f aca="false">input!B7*12</f>
        <v>36000</v>
      </c>
      <c r="H24" s="24" t="n">
        <f aca="false">F24-G24</f>
        <v>21600</v>
      </c>
      <c r="I24" s="24" t="n">
        <f aca="false">input!B11*12+MAX(0, MIN(input!B18, H24/12)) * 12</f>
        <v>33096</v>
      </c>
      <c r="J24" s="24" t="n">
        <f aca="false">K23</f>
        <v>2277380.74159157</v>
      </c>
      <c r="K24" s="24" t="n">
        <f aca="false">J24*(1+input!B14)+I24*((1+input!B14)-1)/input!B14</f>
        <v>2469893.39350298</v>
      </c>
      <c r="L24" s="24" t="n">
        <f aca="false">L23+MAX(0,H24/12)</f>
        <v>58724</v>
      </c>
      <c r="M24" s="24" t="n">
        <f aca="false">calc_metrics!B4</f>
        <v>2499900</v>
      </c>
      <c r="N24" s="25" t="str">
        <f aca="false">IF(K24&gt;=M24,"TRUE","FALSE")</f>
        <v>FALSE</v>
      </c>
      <c r="O24" s="26" t="n">
        <f aca="false">IFERROR(K24/M24,0)</f>
        <v>0.987996877276285</v>
      </c>
      <c r="P24" s="25" t="str">
        <f aca="false">IF(AND(L24&gt;=0,Q24&gt;=6,K24&gt;=M24*0.25),"TRUE","FALSE")</f>
        <v>TRUE</v>
      </c>
      <c r="Q24" s="27" t="n">
        <f aca="false">IFERROR(L24/(input!B7),0)</f>
        <v>19.5746666666667</v>
      </c>
      <c r="R24" s="22" t="s">
        <v>36</v>
      </c>
    </row>
    <row r="25" customFormat="false" ht="18" hidden="false" customHeight="true" outlineLevel="0" collapsed="false">
      <c r="A25" s="22" t="s">
        <v>78</v>
      </c>
      <c r="B25" s="22" t="s">
        <v>35</v>
      </c>
      <c r="C25" s="23" t="n">
        <v>23</v>
      </c>
      <c r="D25" s="23" t="n">
        <v>23</v>
      </c>
      <c r="E25" s="23" t="n">
        <f aca="false">input!B5+23</f>
        <v>61</v>
      </c>
      <c r="F25" s="24" t="n">
        <f aca="false">input!B6*12</f>
        <v>57600</v>
      </c>
      <c r="G25" s="24" t="n">
        <f aca="false">input!B7*12</f>
        <v>36000</v>
      </c>
      <c r="H25" s="24" t="n">
        <f aca="false">F25-G25</f>
        <v>21600</v>
      </c>
      <c r="I25" s="24" t="n">
        <f aca="false">input!B11*12+MAX(0, MIN(input!B18, H25/12)) * 12</f>
        <v>33096</v>
      </c>
      <c r="J25" s="24" t="n">
        <f aca="false">K24</f>
        <v>2469893.39350298</v>
      </c>
      <c r="K25" s="24" t="n">
        <f aca="false">J25*(1+input!B14)+I25*((1+input!B14)-1)/input!B14</f>
        <v>2675881.93104819</v>
      </c>
      <c r="L25" s="24" t="n">
        <f aca="false">L24+MAX(0,H25/12)</f>
        <v>60524</v>
      </c>
      <c r="M25" s="24" t="n">
        <f aca="false">calc_metrics!B4</f>
        <v>2499900</v>
      </c>
      <c r="N25" s="25" t="str">
        <f aca="false">IF(K25&gt;=M25,"TRUE","FALSE")</f>
        <v>TRUE</v>
      </c>
      <c r="O25" s="26" t="n">
        <f aca="false">IFERROR(K25/M25,0)</f>
        <v>1.07039558824281</v>
      </c>
      <c r="P25" s="25" t="str">
        <f aca="false">IF(AND(L25&gt;=0,Q25&gt;=6,K25&gt;=M25*0.25),"TRUE","FALSE")</f>
        <v>TRUE</v>
      </c>
      <c r="Q25" s="27" t="n">
        <f aca="false">IFERROR(L25/(input!B7),0)</f>
        <v>20.1746666666667</v>
      </c>
      <c r="R25" s="22" t="s">
        <v>36</v>
      </c>
    </row>
    <row r="26" customFormat="false" ht="18" hidden="false" customHeight="true" outlineLevel="0" collapsed="false">
      <c r="A26" s="22" t="s">
        <v>78</v>
      </c>
      <c r="B26" s="22" t="s">
        <v>35</v>
      </c>
      <c r="C26" s="23" t="n">
        <v>24</v>
      </c>
      <c r="D26" s="23" t="n">
        <v>24</v>
      </c>
      <c r="E26" s="23" t="n">
        <f aca="false">input!B5+24</f>
        <v>62</v>
      </c>
      <c r="F26" s="24" t="n">
        <f aca="false">input!B6*12</f>
        <v>57600</v>
      </c>
      <c r="G26" s="24" t="n">
        <f aca="false">input!B7*12</f>
        <v>36000</v>
      </c>
      <c r="H26" s="24" t="n">
        <f aca="false">F26-G26</f>
        <v>21600</v>
      </c>
      <c r="I26" s="24" t="n">
        <f aca="false">input!B11*12+MAX(0, MIN(input!B18, H26/12)) * 12</f>
        <v>33096</v>
      </c>
      <c r="J26" s="24" t="n">
        <f aca="false">K25</f>
        <v>2675881.93104819</v>
      </c>
      <c r="K26" s="24" t="n">
        <f aca="false">J26*(1+input!B14)+I26*((1+input!B14)-1)/input!B14</f>
        <v>2896289.66622157</v>
      </c>
      <c r="L26" s="24" t="n">
        <f aca="false">L25+MAX(0,H26/12)</f>
        <v>62324</v>
      </c>
      <c r="M26" s="24" t="n">
        <f aca="false">calc_metrics!B4</f>
        <v>2499900</v>
      </c>
      <c r="N26" s="25" t="str">
        <f aca="false">IF(K26&gt;=M26,"TRUE","FALSE")</f>
        <v>TRUE</v>
      </c>
      <c r="O26" s="26" t="n">
        <f aca="false">IFERROR(K26/M26,0)</f>
        <v>1.15856220897699</v>
      </c>
      <c r="P26" s="25" t="str">
        <f aca="false">IF(AND(L26&gt;=0,Q26&gt;=6,K26&gt;=M26*0.25),"TRUE","FALSE")</f>
        <v>TRUE</v>
      </c>
      <c r="Q26" s="27" t="n">
        <f aca="false">IFERROR(L26/(input!B7),0)</f>
        <v>20.7746666666667</v>
      </c>
      <c r="R26" s="22" t="s">
        <v>36</v>
      </c>
    </row>
    <row r="27" customFormat="false" ht="18" hidden="false" customHeight="true" outlineLevel="0" collapsed="false">
      <c r="A27" s="22" t="s">
        <v>78</v>
      </c>
      <c r="B27" s="22" t="s">
        <v>35</v>
      </c>
      <c r="C27" s="23" t="n">
        <v>25</v>
      </c>
      <c r="D27" s="23" t="n">
        <v>25</v>
      </c>
      <c r="E27" s="23" t="n">
        <f aca="false">input!B5+25</f>
        <v>63</v>
      </c>
      <c r="F27" s="24" t="n">
        <f aca="false">input!B6*12</f>
        <v>57600</v>
      </c>
      <c r="G27" s="24" t="n">
        <f aca="false">input!B7*12</f>
        <v>36000</v>
      </c>
      <c r="H27" s="24" t="n">
        <f aca="false">F27-G27</f>
        <v>21600</v>
      </c>
      <c r="I27" s="24" t="n">
        <f aca="false">input!B11*12+MAX(0, MIN(input!B18, H27/12)) * 12</f>
        <v>33096</v>
      </c>
      <c r="J27" s="24" t="n">
        <f aca="false">K26</f>
        <v>2896289.66622157</v>
      </c>
      <c r="K27" s="24" t="n">
        <f aca="false">J27*(1+input!B14)+I27*((1+input!B14)-1)/input!B14</f>
        <v>3132125.94285708</v>
      </c>
      <c r="L27" s="24" t="n">
        <f aca="false">L26+MAX(0,H27/12)</f>
        <v>64124</v>
      </c>
      <c r="M27" s="24" t="n">
        <f aca="false">calc_metrics!B4</f>
        <v>2499900</v>
      </c>
      <c r="N27" s="25" t="str">
        <f aca="false">IF(K27&gt;=M27,"TRUE","FALSE")</f>
        <v>TRUE</v>
      </c>
      <c r="O27" s="26" t="n">
        <f aca="false">IFERROR(K27/M27,0)</f>
        <v>1.25290049316256</v>
      </c>
      <c r="P27" s="25" t="str">
        <f aca="false">IF(AND(L27&gt;=0,Q27&gt;=6,K27&gt;=M27*0.25),"TRUE","FALSE")</f>
        <v>TRUE</v>
      </c>
      <c r="Q27" s="27" t="n">
        <f aca="false">IFERROR(L27/(input!B7),0)</f>
        <v>21.3746666666667</v>
      </c>
      <c r="R27" s="22" t="s">
        <v>36</v>
      </c>
    </row>
    <row r="28" customFormat="false" ht="18" hidden="false" customHeight="true" outlineLevel="0" collapsed="false">
      <c r="A28" s="22" t="s">
        <v>78</v>
      </c>
      <c r="B28" s="22" t="s">
        <v>35</v>
      </c>
      <c r="C28" s="23" t="n">
        <v>26</v>
      </c>
      <c r="D28" s="23" t="n">
        <v>26</v>
      </c>
      <c r="E28" s="23" t="n">
        <f aca="false">input!B5+26</f>
        <v>64</v>
      </c>
      <c r="F28" s="24" t="n">
        <f aca="false">input!B6*12</f>
        <v>57600</v>
      </c>
      <c r="G28" s="24" t="n">
        <f aca="false">input!B7*12</f>
        <v>36000</v>
      </c>
      <c r="H28" s="24" t="n">
        <f aca="false">F28-G28</f>
        <v>21600</v>
      </c>
      <c r="I28" s="24" t="n">
        <f aca="false">input!B11*12+MAX(0, MIN(input!B18, H28/12)) * 12</f>
        <v>33096</v>
      </c>
      <c r="J28" s="24" t="n">
        <f aca="false">K27</f>
        <v>3132125.94285708</v>
      </c>
      <c r="K28" s="24" t="n">
        <f aca="false">J28*(1+input!B14)+I28*((1+input!B14)-1)/input!B14</f>
        <v>3384470.75885707</v>
      </c>
      <c r="L28" s="24" t="n">
        <f aca="false">L27+MAX(0,H28/12)</f>
        <v>65924</v>
      </c>
      <c r="M28" s="24" t="n">
        <f aca="false">calc_metrics!B4</f>
        <v>2499900</v>
      </c>
      <c r="N28" s="25" t="str">
        <f aca="false">IF(K28&gt;=M28,"TRUE","FALSE")</f>
        <v>TRUE</v>
      </c>
      <c r="O28" s="26" t="n">
        <f aca="false">IFERROR(K28/M28,0)</f>
        <v>1.35384245724112</v>
      </c>
      <c r="P28" s="25" t="str">
        <f aca="false">IF(AND(L28&gt;=0,Q28&gt;=6,K28&gt;=M28*0.25),"TRUE","FALSE")</f>
        <v>TRUE</v>
      </c>
      <c r="Q28" s="27" t="n">
        <f aca="false">IFERROR(L28/(input!B7),0)</f>
        <v>21.9746666666667</v>
      </c>
      <c r="R28" s="22" t="s">
        <v>36</v>
      </c>
    </row>
    <row r="29" customFormat="false" ht="18" hidden="false" customHeight="true" outlineLevel="0" collapsed="false">
      <c r="A29" s="22" t="s">
        <v>78</v>
      </c>
      <c r="B29" s="22" t="s">
        <v>35</v>
      </c>
      <c r="C29" s="23" t="n">
        <v>27</v>
      </c>
      <c r="D29" s="23" t="n">
        <v>27</v>
      </c>
      <c r="E29" s="23" t="n">
        <f aca="false">input!B5+27</f>
        <v>65</v>
      </c>
      <c r="F29" s="24" t="n">
        <f aca="false">input!B6*12</f>
        <v>57600</v>
      </c>
      <c r="G29" s="24" t="n">
        <f aca="false">input!B7*12</f>
        <v>36000</v>
      </c>
      <c r="H29" s="24" t="n">
        <f aca="false">F29-G29</f>
        <v>21600</v>
      </c>
      <c r="I29" s="24" t="n">
        <f aca="false">input!B11*12+MAX(0, MIN(input!B18, H29/12)) * 12</f>
        <v>33096</v>
      </c>
      <c r="J29" s="24" t="n">
        <f aca="false">K28</f>
        <v>3384470.75885707</v>
      </c>
      <c r="K29" s="24" t="n">
        <f aca="false">J29*(1+input!B14)+I29*((1+input!B14)-1)/input!B14</f>
        <v>3654479.71197707</v>
      </c>
      <c r="L29" s="24" t="n">
        <f aca="false">L28+MAX(0,H29/12)</f>
        <v>67724</v>
      </c>
      <c r="M29" s="24" t="n">
        <f aca="false">calc_metrics!B4</f>
        <v>2499900</v>
      </c>
      <c r="N29" s="25" t="str">
        <f aca="false">IF(K29&gt;=M29,"TRUE","FALSE")</f>
        <v>TRUE</v>
      </c>
      <c r="O29" s="26" t="n">
        <f aca="false">IFERROR(K29/M29,0)</f>
        <v>1.46185035880518</v>
      </c>
      <c r="P29" s="25" t="str">
        <f aca="false">IF(AND(L29&gt;=0,Q29&gt;=6,K29&gt;=M29*0.25),"TRUE","FALSE")</f>
        <v>TRUE</v>
      </c>
      <c r="Q29" s="27" t="n">
        <f aca="false">IFERROR(L29/(input!B7),0)</f>
        <v>22.5746666666667</v>
      </c>
      <c r="R29" s="22" t="s">
        <v>36</v>
      </c>
    </row>
    <row r="30" customFormat="false" ht="18" hidden="false" customHeight="true" outlineLevel="0" collapsed="false">
      <c r="A30" s="22" t="s">
        <v>78</v>
      </c>
      <c r="B30" s="22" t="s">
        <v>35</v>
      </c>
      <c r="C30" s="23" t="n">
        <v>28</v>
      </c>
      <c r="D30" s="23" t="n">
        <v>28</v>
      </c>
      <c r="E30" s="23" t="n">
        <f aca="false">input!B5+28</f>
        <v>66</v>
      </c>
      <c r="F30" s="24" t="n">
        <f aca="false">input!B6*12</f>
        <v>57600</v>
      </c>
      <c r="G30" s="24" t="n">
        <f aca="false">input!B7*12</f>
        <v>36000</v>
      </c>
      <c r="H30" s="24" t="n">
        <f aca="false">F30-G30</f>
        <v>21600</v>
      </c>
      <c r="I30" s="24" t="n">
        <f aca="false">input!B11*12+MAX(0, MIN(input!B18, H30/12)) * 12</f>
        <v>33096</v>
      </c>
      <c r="J30" s="24" t="n">
        <f aca="false">K29</f>
        <v>3654479.71197707</v>
      </c>
      <c r="K30" s="24" t="n">
        <f aca="false">J30*(1+input!B14)+I30*((1+input!B14)-1)/input!B14</f>
        <v>3943389.29181546</v>
      </c>
      <c r="L30" s="24" t="n">
        <f aca="false">L29+MAX(0,H30/12)</f>
        <v>69524</v>
      </c>
      <c r="M30" s="24" t="n">
        <f aca="false">calc_metrics!B4</f>
        <v>2499900</v>
      </c>
      <c r="N30" s="25" t="str">
        <f aca="false">IF(K30&gt;=M30,"TRUE","FALSE")</f>
        <v>TRUE</v>
      </c>
      <c r="O30" s="26" t="n">
        <f aca="false">IFERROR(K30/M30,0)</f>
        <v>1.57741881347872</v>
      </c>
      <c r="P30" s="25" t="str">
        <f aca="false">IF(AND(L30&gt;=0,Q30&gt;=6,K30&gt;=M30*0.25),"TRUE","FALSE")</f>
        <v>TRUE</v>
      </c>
      <c r="Q30" s="27" t="n">
        <f aca="false">IFERROR(L30/(input!B7),0)</f>
        <v>23.1746666666667</v>
      </c>
      <c r="R30" s="22" t="s">
        <v>36</v>
      </c>
    </row>
    <row r="31" customFormat="false" ht="18" hidden="false" customHeight="true" outlineLevel="0" collapsed="false">
      <c r="A31" s="22" t="s">
        <v>78</v>
      </c>
      <c r="B31" s="22" t="s">
        <v>35</v>
      </c>
      <c r="C31" s="23" t="n">
        <v>29</v>
      </c>
      <c r="D31" s="23" t="n">
        <v>29</v>
      </c>
      <c r="E31" s="23" t="n">
        <f aca="false">input!B5+29</f>
        <v>67</v>
      </c>
      <c r="F31" s="24" t="n">
        <f aca="false">input!B6*12</f>
        <v>57600</v>
      </c>
      <c r="G31" s="24" t="n">
        <f aca="false">input!B7*12</f>
        <v>36000</v>
      </c>
      <c r="H31" s="24" t="n">
        <f aca="false">F31-G31</f>
        <v>21600</v>
      </c>
      <c r="I31" s="24" t="n">
        <f aca="false">input!B11*12+MAX(0, MIN(input!B18, H31/12)) * 12</f>
        <v>33096</v>
      </c>
      <c r="J31" s="24" t="n">
        <f aca="false">K30</f>
        <v>3943389.29181546</v>
      </c>
      <c r="K31" s="24" t="n">
        <f aca="false">J31*(1+input!B14)+I31*((1+input!B14)-1)/input!B14</f>
        <v>4252522.54224255</v>
      </c>
      <c r="L31" s="24" t="n">
        <f aca="false">L30+MAX(0,H31/12)</f>
        <v>71324</v>
      </c>
      <c r="M31" s="24" t="n">
        <f aca="false">calc_metrics!B4</f>
        <v>2499900</v>
      </c>
      <c r="N31" s="25" t="str">
        <f aca="false">IF(K31&gt;=M31,"TRUE","FALSE")</f>
        <v>TRUE</v>
      </c>
      <c r="O31" s="26" t="n">
        <f aca="false">IFERROR(K31/M31,0)</f>
        <v>1.70107705997942</v>
      </c>
      <c r="P31" s="25" t="str">
        <f aca="false">IF(AND(L31&gt;=0,Q31&gt;=6,K31&gt;=M31*0.25),"TRUE","FALSE")</f>
        <v>TRUE</v>
      </c>
      <c r="Q31" s="27" t="n">
        <f aca="false">IFERROR(L31/(input!B7),0)</f>
        <v>23.7746666666667</v>
      </c>
      <c r="R31" s="22" t="s">
        <v>36</v>
      </c>
    </row>
    <row r="32" customFormat="false" ht="18" hidden="false" customHeight="true" outlineLevel="0" collapsed="false">
      <c r="A32" s="22" t="s">
        <v>78</v>
      </c>
      <c r="B32" s="22" t="s">
        <v>35</v>
      </c>
      <c r="C32" s="23" t="n">
        <v>30</v>
      </c>
      <c r="D32" s="23" t="n">
        <v>30</v>
      </c>
      <c r="E32" s="23" t="n">
        <f aca="false">input!B5+30</f>
        <v>68</v>
      </c>
      <c r="F32" s="24" t="n">
        <f aca="false">input!B6*12</f>
        <v>57600</v>
      </c>
      <c r="G32" s="24" t="n">
        <f aca="false">input!B7*12</f>
        <v>36000</v>
      </c>
      <c r="H32" s="24" t="n">
        <f aca="false">F32-G32</f>
        <v>21600</v>
      </c>
      <c r="I32" s="24" t="n">
        <f aca="false">input!B11*12+MAX(0, MIN(input!B18, H32/12)) * 12</f>
        <v>33096</v>
      </c>
      <c r="J32" s="24" t="n">
        <f aca="false">K31</f>
        <v>4252522.54224255</v>
      </c>
      <c r="K32" s="24" t="n">
        <f aca="false">J32*(1+input!B14)+I32*((1+input!B14)-1)/input!B14</f>
        <v>4583295.12019953</v>
      </c>
      <c r="L32" s="24" t="n">
        <f aca="false">L31+MAX(0,H32/12)</f>
        <v>73124</v>
      </c>
      <c r="M32" s="24" t="n">
        <f aca="false">calc_metrics!B4</f>
        <v>2499900</v>
      </c>
      <c r="N32" s="25" t="str">
        <f aca="false">IF(K32&gt;=M32,"TRUE","FALSE")</f>
        <v>TRUE</v>
      </c>
      <c r="O32" s="26" t="n">
        <f aca="false">IFERROR(K32/M32,0)</f>
        <v>1.83339138373516</v>
      </c>
      <c r="P32" s="25" t="str">
        <f aca="false">IF(AND(L32&gt;=0,Q32&gt;=6,K32&gt;=M32*0.25),"TRUE","FALSE")</f>
        <v>TRUE</v>
      </c>
      <c r="Q32" s="27" t="n">
        <f aca="false">IFERROR(L32/(input!B7),0)</f>
        <v>24.3746666666667</v>
      </c>
      <c r="R32" s="22" t="s">
        <v>36</v>
      </c>
    </row>
    <row r="33" customFormat="false" ht="18" hidden="false" customHeight="true" outlineLevel="0" collapsed="false">
      <c r="A33" s="22" t="s">
        <v>78</v>
      </c>
      <c r="B33" s="22" t="s">
        <v>35</v>
      </c>
      <c r="C33" s="23" t="n">
        <v>31</v>
      </c>
      <c r="D33" s="23" t="n">
        <v>31</v>
      </c>
      <c r="E33" s="23" t="n">
        <f aca="false">input!B5+31</f>
        <v>69</v>
      </c>
      <c r="F33" s="24" t="n">
        <f aca="false">input!B6*12</f>
        <v>57600</v>
      </c>
      <c r="G33" s="24" t="n">
        <f aca="false">input!B7*12</f>
        <v>36000</v>
      </c>
      <c r="H33" s="24" t="n">
        <f aca="false">F33-G33</f>
        <v>21600</v>
      </c>
      <c r="I33" s="24" t="n">
        <f aca="false">input!B11*12+MAX(0, MIN(input!B18, H33/12)) * 12</f>
        <v>33096</v>
      </c>
      <c r="J33" s="24" t="n">
        <f aca="false">K32</f>
        <v>4583295.12019953</v>
      </c>
      <c r="K33" s="24" t="n">
        <f aca="false">J33*(1+input!B14)+I33*((1+input!B14)-1)/input!B14</f>
        <v>4937221.77861349</v>
      </c>
      <c r="L33" s="24" t="n">
        <f aca="false">L32+MAX(0,H33/12)</f>
        <v>74924</v>
      </c>
      <c r="M33" s="24" t="n">
        <f aca="false">calc_metrics!B4</f>
        <v>2499900</v>
      </c>
      <c r="N33" s="25" t="str">
        <f aca="false">IF(K33&gt;=M33,"TRUE","FALSE")</f>
        <v>TRUE</v>
      </c>
      <c r="O33" s="26" t="n">
        <f aca="false">IFERROR(K33/M33,0)</f>
        <v>1.9749677101538</v>
      </c>
      <c r="P33" s="25" t="str">
        <f aca="false">IF(AND(L33&gt;=0,Q33&gt;=6,K33&gt;=M33*0.25),"TRUE","FALSE")</f>
        <v>TRUE</v>
      </c>
      <c r="Q33" s="27" t="n">
        <f aca="false">IFERROR(L33/(input!B7),0)</f>
        <v>24.9746666666667</v>
      </c>
      <c r="R33" s="22" t="s">
        <v>36</v>
      </c>
    </row>
    <row r="34" customFormat="false" ht="18" hidden="false" customHeight="true" outlineLevel="0" collapsed="false">
      <c r="A34" s="22" t="s">
        <v>78</v>
      </c>
      <c r="B34" s="22" t="s">
        <v>35</v>
      </c>
      <c r="C34" s="23" t="n">
        <v>32</v>
      </c>
      <c r="D34" s="23" t="n">
        <v>32</v>
      </c>
      <c r="E34" s="23" t="n">
        <f aca="false">input!B5+32</f>
        <v>70</v>
      </c>
      <c r="F34" s="24" t="n">
        <f aca="false">input!B6*12</f>
        <v>57600</v>
      </c>
      <c r="G34" s="24" t="n">
        <f aca="false">input!B7*12</f>
        <v>36000</v>
      </c>
      <c r="H34" s="24" t="n">
        <f aca="false">F34-G34</f>
        <v>21600</v>
      </c>
      <c r="I34" s="24" t="n">
        <f aca="false">input!B11*12+MAX(0, MIN(input!B18, H34/12)) * 12</f>
        <v>33096</v>
      </c>
      <c r="J34" s="24" t="n">
        <f aca="false">K33</f>
        <v>4937221.77861349</v>
      </c>
      <c r="K34" s="24" t="n">
        <f aca="false">J34*(1+input!B14)+I34*((1+input!B14)-1)/input!B14</f>
        <v>5315923.30311644</v>
      </c>
      <c r="L34" s="24" t="n">
        <f aca="false">L33+MAX(0,H34/12)</f>
        <v>76724</v>
      </c>
      <c r="M34" s="24" t="n">
        <f aca="false">calc_metrics!B4</f>
        <v>2499900</v>
      </c>
      <c r="N34" s="25" t="str">
        <f aca="false">IF(K34&gt;=M34,"TRUE","FALSE")</f>
        <v>TRUE</v>
      </c>
      <c r="O34" s="26" t="n">
        <f aca="false">IFERROR(K34/M34,0)</f>
        <v>2.12645437942175</v>
      </c>
      <c r="P34" s="25" t="str">
        <f aca="false">IF(AND(L34&gt;=0,Q34&gt;=6,K34&gt;=M34*0.25),"TRUE","FALSE")</f>
        <v>TRUE</v>
      </c>
      <c r="Q34" s="27" t="n">
        <f aca="false">IFERROR(L34/(input!B7),0)</f>
        <v>25.5746666666667</v>
      </c>
      <c r="R34" s="22" t="s">
        <v>36</v>
      </c>
    </row>
    <row r="35" customFormat="false" ht="18" hidden="false" customHeight="true" outlineLevel="0" collapsed="false">
      <c r="A35" s="22" t="s">
        <v>78</v>
      </c>
      <c r="B35" s="22" t="s">
        <v>35</v>
      </c>
      <c r="C35" s="23" t="n">
        <v>33</v>
      </c>
      <c r="D35" s="23" t="n">
        <v>33</v>
      </c>
      <c r="E35" s="23" t="n">
        <f aca="false">input!B5+33</f>
        <v>71</v>
      </c>
      <c r="F35" s="24" t="n">
        <f aca="false">input!B6*12</f>
        <v>57600</v>
      </c>
      <c r="G35" s="24" t="n">
        <f aca="false">input!B7*12</f>
        <v>36000</v>
      </c>
      <c r="H35" s="24" t="n">
        <f aca="false">F35-G35</f>
        <v>21600</v>
      </c>
      <c r="I35" s="24" t="n">
        <f aca="false">input!B11*12+MAX(0, MIN(input!B18, H35/12)) * 12</f>
        <v>33096</v>
      </c>
      <c r="J35" s="24" t="n">
        <f aca="false">K34</f>
        <v>5315923.30311644</v>
      </c>
      <c r="K35" s="24" t="n">
        <f aca="false">J35*(1+input!B14)+I35*((1+input!B14)-1)/input!B14</f>
        <v>5721133.93433459</v>
      </c>
      <c r="L35" s="24" t="n">
        <f aca="false">L34+MAX(0,H35/12)</f>
        <v>78524</v>
      </c>
      <c r="M35" s="24" t="n">
        <f aca="false">calc_metrics!B4</f>
        <v>2499900</v>
      </c>
      <c r="N35" s="25" t="str">
        <f aca="false">IF(K35&gt;=M35,"TRUE","FALSE")</f>
        <v>TRUE</v>
      </c>
      <c r="O35" s="26" t="n">
        <f aca="false">IFERROR(K35/M35,0)</f>
        <v>2.28854511553846</v>
      </c>
      <c r="P35" s="25" t="str">
        <f aca="false">IF(AND(L35&gt;=0,Q35&gt;=6,K35&gt;=M35*0.25),"TRUE","FALSE")</f>
        <v>TRUE</v>
      </c>
      <c r="Q35" s="27" t="n">
        <f aca="false">IFERROR(L35/(input!B7),0)</f>
        <v>26.1746666666667</v>
      </c>
      <c r="R35" s="22" t="s">
        <v>36</v>
      </c>
    </row>
    <row r="36" customFormat="false" ht="18" hidden="false" customHeight="true" outlineLevel="0" collapsed="false">
      <c r="A36" s="22" t="s">
        <v>78</v>
      </c>
      <c r="B36" s="22" t="s">
        <v>35</v>
      </c>
      <c r="C36" s="23" t="n">
        <v>34</v>
      </c>
      <c r="D36" s="23" t="n">
        <v>34</v>
      </c>
      <c r="E36" s="23" t="n">
        <f aca="false">input!B5+34</f>
        <v>72</v>
      </c>
      <c r="F36" s="24" t="n">
        <f aca="false">input!B6*12</f>
        <v>57600</v>
      </c>
      <c r="G36" s="24" t="n">
        <f aca="false">input!B7*12</f>
        <v>36000</v>
      </c>
      <c r="H36" s="24" t="n">
        <f aca="false">F36-G36</f>
        <v>21600</v>
      </c>
      <c r="I36" s="24" t="n">
        <f aca="false">input!B11*12+MAX(0, MIN(input!B18, H36/12)) * 12</f>
        <v>33096</v>
      </c>
      <c r="J36" s="24" t="n">
        <f aca="false">K35</f>
        <v>5721133.93433459</v>
      </c>
      <c r="K36" s="24" t="n">
        <f aca="false">J36*(1+input!B14)+I36*((1+input!B14)-1)/input!B14</f>
        <v>6154709.30973801</v>
      </c>
      <c r="L36" s="24" t="n">
        <f aca="false">L35+MAX(0,H36/12)</f>
        <v>80324</v>
      </c>
      <c r="M36" s="24" t="n">
        <f aca="false">calc_metrics!B4</f>
        <v>2499900</v>
      </c>
      <c r="N36" s="25" t="str">
        <f aca="false">IF(K36&gt;=M36,"TRUE","FALSE")</f>
        <v>TRUE</v>
      </c>
      <c r="O36" s="26" t="n">
        <f aca="false">IFERROR(K36/M36,0)</f>
        <v>2.46198220318333</v>
      </c>
      <c r="P36" s="25" t="str">
        <f aca="false">IF(AND(L36&gt;=0,Q36&gt;=6,K36&gt;=M36*0.25),"TRUE","FALSE")</f>
        <v>TRUE</v>
      </c>
      <c r="Q36" s="27" t="n">
        <f aca="false">IFERROR(L36/(input!B7),0)</f>
        <v>26.7746666666667</v>
      </c>
      <c r="R36" s="22" t="s">
        <v>36</v>
      </c>
    </row>
    <row r="37" customFormat="false" ht="18" hidden="false" customHeight="true" outlineLevel="0" collapsed="false">
      <c r="A37" s="22" t="s">
        <v>78</v>
      </c>
      <c r="B37" s="22" t="s">
        <v>35</v>
      </c>
      <c r="C37" s="23" t="n">
        <v>35</v>
      </c>
      <c r="D37" s="23" t="n">
        <v>35</v>
      </c>
      <c r="E37" s="23" t="n">
        <f aca="false">input!B5+35</f>
        <v>73</v>
      </c>
      <c r="F37" s="24" t="n">
        <f aca="false">input!B6*12</f>
        <v>57600</v>
      </c>
      <c r="G37" s="24" t="n">
        <f aca="false">input!B7*12</f>
        <v>36000</v>
      </c>
      <c r="H37" s="24" t="n">
        <f aca="false">F37-G37</f>
        <v>21600</v>
      </c>
      <c r="I37" s="24" t="n">
        <f aca="false">input!B11*12+MAX(0, MIN(input!B18, H37/12)) * 12</f>
        <v>33096</v>
      </c>
      <c r="J37" s="24" t="n">
        <f aca="false">K36</f>
        <v>6154709.30973801</v>
      </c>
      <c r="K37" s="24" t="n">
        <f aca="false">J37*(1+input!B14)+I37*((1+input!B14)-1)/input!B14</f>
        <v>6618634.96141967</v>
      </c>
      <c r="L37" s="24" t="n">
        <f aca="false">L36+MAX(0,H37/12)</f>
        <v>82124</v>
      </c>
      <c r="M37" s="24" t="n">
        <f aca="false">calc_metrics!B4</f>
        <v>2499900</v>
      </c>
      <c r="N37" s="25" t="str">
        <f aca="false">IF(K37&gt;=M37,"TRUE","FALSE")</f>
        <v>TRUE</v>
      </c>
      <c r="O37" s="26" t="n">
        <f aca="false">IFERROR(K37/M37,0)</f>
        <v>2.64755988696335</v>
      </c>
      <c r="P37" s="25" t="str">
        <f aca="false">IF(AND(L37&gt;=0,Q37&gt;=6,K37&gt;=M37*0.25),"TRUE","FALSE")</f>
        <v>TRUE</v>
      </c>
      <c r="Q37" s="27" t="n">
        <f aca="false">IFERROR(L37/(input!B7),0)</f>
        <v>27.3746666666667</v>
      </c>
      <c r="R37" s="22" t="s">
        <v>36</v>
      </c>
    </row>
    <row r="38" customFormat="false" ht="18" hidden="false" customHeight="true" outlineLevel="0" collapsed="false">
      <c r="A38" s="22" t="s">
        <v>78</v>
      </c>
      <c r="B38" s="22" t="s">
        <v>35</v>
      </c>
      <c r="C38" s="23" t="n">
        <v>36</v>
      </c>
      <c r="D38" s="23" t="n">
        <v>36</v>
      </c>
      <c r="E38" s="23" t="n">
        <f aca="false">input!B5+36</f>
        <v>74</v>
      </c>
      <c r="F38" s="24" t="n">
        <f aca="false">input!B6*12</f>
        <v>57600</v>
      </c>
      <c r="G38" s="24" t="n">
        <f aca="false">input!B7*12</f>
        <v>36000</v>
      </c>
      <c r="H38" s="24" t="n">
        <f aca="false">F38-G38</f>
        <v>21600</v>
      </c>
      <c r="I38" s="24" t="n">
        <f aca="false">input!B11*12+MAX(0, MIN(input!B18, H38/12)) * 12</f>
        <v>33096</v>
      </c>
      <c r="J38" s="24" t="n">
        <f aca="false">K37</f>
        <v>6618634.96141967</v>
      </c>
      <c r="K38" s="24" t="n">
        <f aca="false">J38*(1+input!B14)+I38*((1+input!B14)-1)/input!B14</f>
        <v>7115035.40871905</v>
      </c>
      <c r="L38" s="24" t="n">
        <f aca="false">L37+MAX(0,H38/12)</f>
        <v>83924</v>
      </c>
      <c r="M38" s="24" t="n">
        <f aca="false">calc_metrics!B4</f>
        <v>2499900</v>
      </c>
      <c r="N38" s="25" t="str">
        <f aca="false">IF(K38&gt;=M38,"TRUE","FALSE")</f>
        <v>TRUE</v>
      </c>
      <c r="O38" s="26" t="n">
        <f aca="false">IFERROR(K38/M38,0)</f>
        <v>2.84612800860796</v>
      </c>
      <c r="P38" s="25" t="str">
        <f aca="false">IF(AND(L38&gt;=0,Q38&gt;=6,K38&gt;=M38*0.25),"TRUE","FALSE")</f>
        <v>TRUE</v>
      </c>
      <c r="Q38" s="27" t="n">
        <f aca="false">IFERROR(L38/(input!B7),0)</f>
        <v>27.9746666666667</v>
      </c>
      <c r="R38" s="22" t="s">
        <v>36</v>
      </c>
    </row>
    <row r="39" customFormat="false" ht="18" hidden="false" customHeight="true" outlineLevel="0" collapsed="false">
      <c r="A39" s="22" t="s">
        <v>78</v>
      </c>
      <c r="B39" s="22" t="s">
        <v>35</v>
      </c>
      <c r="C39" s="23" t="n">
        <v>37</v>
      </c>
      <c r="D39" s="23" t="n">
        <v>37</v>
      </c>
      <c r="E39" s="23" t="n">
        <f aca="false">input!B5+37</f>
        <v>75</v>
      </c>
      <c r="F39" s="24" t="n">
        <f aca="false">input!B6*12</f>
        <v>57600</v>
      </c>
      <c r="G39" s="24" t="n">
        <f aca="false">input!B7*12</f>
        <v>36000</v>
      </c>
      <c r="H39" s="24" t="n">
        <f aca="false">F39-G39</f>
        <v>21600</v>
      </c>
      <c r="I39" s="24" t="n">
        <f aca="false">input!B11*12+MAX(0, MIN(input!B18, H39/12)) * 12</f>
        <v>33096</v>
      </c>
      <c r="J39" s="24" t="n">
        <f aca="false">K38</f>
        <v>7115035.40871905</v>
      </c>
      <c r="K39" s="24" t="n">
        <f aca="false">J39*(1+input!B14)+I39*((1+input!B14)-1)/input!B14</f>
        <v>7646183.88732938</v>
      </c>
      <c r="L39" s="24" t="n">
        <f aca="false">L38+MAX(0,H39/12)</f>
        <v>85724</v>
      </c>
      <c r="M39" s="24" t="n">
        <f aca="false">calc_metrics!B4</f>
        <v>2499900</v>
      </c>
      <c r="N39" s="25" t="str">
        <f aca="false">IF(K39&gt;=M39,"TRUE","FALSE")</f>
        <v>TRUE</v>
      </c>
      <c r="O39" s="26" t="n">
        <f aca="false">IFERROR(K39/M39,0)</f>
        <v>3.0585958987677</v>
      </c>
      <c r="P39" s="25" t="str">
        <f aca="false">IF(AND(L39&gt;=0,Q39&gt;=6,K39&gt;=M39*0.25),"TRUE","FALSE")</f>
        <v>TRUE</v>
      </c>
      <c r="Q39" s="27" t="n">
        <f aca="false">IFERROR(L39/(input!B7),0)</f>
        <v>28.5746666666667</v>
      </c>
      <c r="R39" s="22" t="s">
        <v>36</v>
      </c>
    </row>
    <row r="40" customFormat="false" ht="18" hidden="false" customHeight="true" outlineLevel="0" collapsed="false">
      <c r="A40" s="22" t="s">
        <v>78</v>
      </c>
      <c r="B40" s="22" t="s">
        <v>35</v>
      </c>
      <c r="C40" s="23" t="n">
        <v>38</v>
      </c>
      <c r="D40" s="23" t="n">
        <v>38</v>
      </c>
      <c r="E40" s="23" t="n">
        <f aca="false">input!B5+38</f>
        <v>76</v>
      </c>
      <c r="F40" s="24" t="n">
        <f aca="false">input!B6*12</f>
        <v>57600</v>
      </c>
      <c r="G40" s="24" t="n">
        <f aca="false">input!B7*12</f>
        <v>36000</v>
      </c>
      <c r="H40" s="24" t="n">
        <f aca="false">F40-G40</f>
        <v>21600</v>
      </c>
      <c r="I40" s="24" t="n">
        <f aca="false">input!B11*12+MAX(0, MIN(input!B18, H40/12)) * 12</f>
        <v>33096</v>
      </c>
      <c r="J40" s="24" t="n">
        <f aca="false">K39</f>
        <v>7646183.88732938</v>
      </c>
      <c r="K40" s="24" t="n">
        <f aca="false">J40*(1+input!B14)+I40*((1+input!B14)-1)/input!B14</f>
        <v>8214512.75944244</v>
      </c>
      <c r="L40" s="24" t="n">
        <f aca="false">L39+MAX(0,H40/12)</f>
        <v>87524</v>
      </c>
      <c r="M40" s="24" t="n">
        <f aca="false">calc_metrics!B4</f>
        <v>2499900</v>
      </c>
      <c r="N40" s="25" t="str">
        <f aca="false">IF(K40&gt;=M40,"TRUE","FALSE")</f>
        <v>TRUE</v>
      </c>
      <c r="O40" s="26" t="n">
        <f aca="false">IFERROR(K40/M40,0)</f>
        <v>3.28593654123863</v>
      </c>
      <c r="P40" s="25" t="str">
        <f aca="false">IF(AND(L40&gt;=0,Q40&gt;=6,K40&gt;=M40*0.25),"TRUE","FALSE")</f>
        <v>TRUE</v>
      </c>
      <c r="Q40" s="27" t="n">
        <f aca="false">IFERROR(L40/(input!B7),0)</f>
        <v>29.1746666666667</v>
      </c>
      <c r="R40" s="22" t="s">
        <v>36</v>
      </c>
    </row>
    <row r="41" customFormat="false" ht="18" hidden="false" customHeight="true" outlineLevel="0" collapsed="false">
      <c r="A41" s="22" t="s">
        <v>78</v>
      </c>
      <c r="B41" s="22" t="s">
        <v>35</v>
      </c>
      <c r="C41" s="23" t="n">
        <v>39</v>
      </c>
      <c r="D41" s="23" t="n">
        <v>39</v>
      </c>
      <c r="E41" s="23" t="n">
        <f aca="false">input!B5+39</f>
        <v>77</v>
      </c>
      <c r="F41" s="24" t="n">
        <f aca="false">input!B6*12</f>
        <v>57600</v>
      </c>
      <c r="G41" s="24" t="n">
        <f aca="false">input!B7*12</f>
        <v>36000</v>
      </c>
      <c r="H41" s="24" t="n">
        <f aca="false">F41-G41</f>
        <v>21600</v>
      </c>
      <c r="I41" s="24" t="n">
        <f aca="false">input!B11*12+MAX(0, MIN(input!B18, H41/12)) * 12</f>
        <v>33096</v>
      </c>
      <c r="J41" s="24" t="n">
        <f aca="false">K40</f>
        <v>8214512.75944244</v>
      </c>
      <c r="K41" s="24" t="n">
        <f aca="false">J41*(1+input!B14)+I41*((1+input!B14)-1)/input!B14</f>
        <v>8822624.65260341</v>
      </c>
      <c r="L41" s="24" t="n">
        <f aca="false">L40+MAX(0,H41/12)</f>
        <v>89324</v>
      </c>
      <c r="M41" s="24" t="n">
        <f aca="false">calc_metrics!B4</f>
        <v>2499900</v>
      </c>
      <c r="N41" s="25" t="str">
        <f aca="false">IF(K41&gt;=M41,"TRUE","FALSE")</f>
        <v>TRUE</v>
      </c>
      <c r="O41" s="26" t="n">
        <f aca="false">IFERROR(K41/M41,0)</f>
        <v>3.52919102868251</v>
      </c>
      <c r="P41" s="25" t="str">
        <f aca="false">IF(AND(L41&gt;=0,Q41&gt;=6,K41&gt;=M41*0.25),"TRUE","FALSE")</f>
        <v>TRUE</v>
      </c>
      <c r="Q41" s="27" t="n">
        <f aca="false">IFERROR(L41/(input!B7),0)</f>
        <v>29.7746666666667</v>
      </c>
      <c r="R41" s="22" t="s">
        <v>36</v>
      </c>
    </row>
    <row r="42" customFormat="false" ht="18" hidden="false" customHeight="true" outlineLevel="0" collapsed="false">
      <c r="A42" s="28" t="s">
        <v>79</v>
      </c>
      <c r="B42" s="28" t="s">
        <v>37</v>
      </c>
      <c r="C42" s="29" t="n">
        <v>0</v>
      </c>
      <c r="D42" s="29" t="n">
        <v>0</v>
      </c>
      <c r="E42" s="29" t="n">
        <f aca="false">input!B5+0</f>
        <v>38</v>
      </c>
      <c r="F42" s="30" t="n">
        <f aca="false">input!B6*12</f>
        <v>57600</v>
      </c>
      <c r="G42" s="30" t="n">
        <f aca="false">input!B7*12</f>
        <v>36000</v>
      </c>
      <c r="H42" s="30" t="n">
        <f aca="false">F42-G42</f>
        <v>21600</v>
      </c>
      <c r="I42" s="30" t="n">
        <f aca="false">input!B11*12+MAX(0, MIN(input!B18, H42/12)) * 12</f>
        <v>33096</v>
      </c>
      <c r="J42" s="30" t="n">
        <f aca="false">calc_is!B13</f>
        <v>147952</v>
      </c>
      <c r="K42" s="30" t="n">
        <f aca="false">J42*(1+input!B14)+I42*((1+input!B14)-1)/input!B14</f>
        <v>191404.64</v>
      </c>
      <c r="L42" s="30" t="n">
        <f aca="false">input!B8</f>
        <v>19124</v>
      </c>
      <c r="M42" s="30" t="n">
        <f aca="false">calc_metrics!B4</f>
        <v>2499900</v>
      </c>
      <c r="N42" s="31" t="str">
        <f aca="false">IF(K42&gt;=M42,"TRUE","FALSE")</f>
        <v>FALSE</v>
      </c>
      <c r="O42" s="32" t="n">
        <f aca="false">IFERROR(K42/M42,0)</f>
        <v>0.0765649185967439</v>
      </c>
      <c r="P42" s="31" t="str">
        <f aca="false">IF(AND(L42&gt;=0,Q42&gt;=6,K42&gt;=M42*0.25),"TRUE","FALSE")</f>
        <v>FALSE</v>
      </c>
      <c r="Q42" s="33" t="n">
        <f aca="false">IFERROR(L42/(input!B7),0)</f>
        <v>6.37466666666667</v>
      </c>
      <c r="R42" s="28" t="s">
        <v>38</v>
      </c>
    </row>
    <row r="43" customFormat="false" ht="18" hidden="false" customHeight="true" outlineLevel="0" collapsed="false">
      <c r="A43" s="28" t="s">
        <v>79</v>
      </c>
      <c r="B43" s="28" t="s">
        <v>37</v>
      </c>
      <c r="C43" s="29" t="n">
        <v>1</v>
      </c>
      <c r="D43" s="29" t="n">
        <v>1</v>
      </c>
      <c r="E43" s="29" t="n">
        <f aca="false">input!B5+1</f>
        <v>39</v>
      </c>
      <c r="F43" s="30" t="n">
        <f aca="false">input!B6*12*(1+input!G29)</f>
        <v>0</v>
      </c>
      <c r="G43" s="30" t="n">
        <f aca="false">( input!B7 + input!I29 ) * 12</f>
        <v>36000</v>
      </c>
      <c r="H43" s="30" t="n">
        <f aca="false">F43-G43</f>
        <v>-36000</v>
      </c>
      <c r="I43" s="30" t="n">
        <f aca="false">0+MAX(0, MIN(input!B18+input!J29, H43/12)) * 12</f>
        <v>0</v>
      </c>
      <c r="J43" s="30" t="n">
        <f aca="false">K42</f>
        <v>191404.64</v>
      </c>
      <c r="K43" s="30" t="n">
        <f aca="false">J43*(1+input!B14)+I43*((1+input!B14)-1)/input!B14</f>
        <v>204802.9648</v>
      </c>
      <c r="L43" s="30" t="n">
        <f aca="false">L42+MAX(0,H43/12)</f>
        <v>19124</v>
      </c>
      <c r="M43" s="30" t="n">
        <f aca="false">calc_metrics!B4</f>
        <v>2499900</v>
      </c>
      <c r="N43" s="31" t="str">
        <f aca="false">IF(K43&gt;=M43,"TRUE","FALSE")</f>
        <v>FALSE</v>
      </c>
      <c r="O43" s="32" t="n">
        <f aca="false">IFERROR(K43/M43,0)</f>
        <v>0.081924462898516</v>
      </c>
      <c r="P43" s="31" t="str">
        <f aca="false">IF(AND(L43&gt;=0,Q43&gt;=6,K43&gt;=M43*0.25),"TRUE","FALSE")</f>
        <v>FALSE</v>
      </c>
      <c r="Q43" s="33" t="n">
        <f aca="false">IFERROR(L43/(input!B7),0)</f>
        <v>6.37466666666667</v>
      </c>
      <c r="R43" s="28" t="s">
        <v>38</v>
      </c>
    </row>
    <row r="44" customFormat="false" ht="18" hidden="false" customHeight="true" outlineLevel="0" collapsed="false">
      <c r="A44" s="28" t="s">
        <v>79</v>
      </c>
      <c r="B44" s="28" t="s">
        <v>37</v>
      </c>
      <c r="C44" s="29" t="n">
        <v>2</v>
      </c>
      <c r="D44" s="29" t="n">
        <v>2</v>
      </c>
      <c r="E44" s="29" t="n">
        <f aca="false">input!B5+2</f>
        <v>40</v>
      </c>
      <c r="F44" s="30" t="n">
        <f aca="false">input!B6*12</f>
        <v>57600</v>
      </c>
      <c r="G44" s="30" t="n">
        <f aca="false">input!B7*12</f>
        <v>36000</v>
      </c>
      <c r="H44" s="30" t="n">
        <f aca="false">F44-G44</f>
        <v>21600</v>
      </c>
      <c r="I44" s="30" t="n">
        <f aca="false">input!B11*12+MAX(0, MIN(input!B18, H44/12)) * 12</f>
        <v>33096</v>
      </c>
      <c r="J44" s="30" t="n">
        <f aca="false">K43</f>
        <v>204802.9648</v>
      </c>
      <c r="K44" s="30" t="n">
        <f aca="false">J44*(1+input!B14)+I44*((1+input!B14)-1)/input!B14</f>
        <v>252235.172336</v>
      </c>
      <c r="L44" s="30" t="n">
        <f aca="false">L43+MAX(0,H44/12)</f>
        <v>20924</v>
      </c>
      <c r="M44" s="30" t="n">
        <f aca="false">calc_metrics!B4</f>
        <v>2499900</v>
      </c>
      <c r="N44" s="31" t="str">
        <f aca="false">IF(K44&gt;=M44,"TRUE","FALSE")</f>
        <v>FALSE</v>
      </c>
      <c r="O44" s="32" t="n">
        <f aca="false">IFERROR(K44/M44,0)</f>
        <v>0.100898104858594</v>
      </c>
      <c r="P44" s="31" t="str">
        <f aca="false">IF(AND(L44&gt;=0,Q44&gt;=6,K44&gt;=M44*0.25),"TRUE","FALSE")</f>
        <v>FALSE</v>
      </c>
      <c r="Q44" s="33" t="n">
        <f aca="false">IFERROR(L44/(input!B7),0)</f>
        <v>6.97466666666667</v>
      </c>
      <c r="R44" s="28" t="s">
        <v>38</v>
      </c>
    </row>
    <row r="45" customFormat="false" ht="18" hidden="false" customHeight="true" outlineLevel="0" collapsed="false">
      <c r="A45" s="28" t="s">
        <v>79</v>
      </c>
      <c r="B45" s="28" t="s">
        <v>37</v>
      </c>
      <c r="C45" s="29" t="n">
        <v>3</v>
      </c>
      <c r="D45" s="29" t="n">
        <v>3</v>
      </c>
      <c r="E45" s="29" t="n">
        <f aca="false">input!B5+3</f>
        <v>41</v>
      </c>
      <c r="F45" s="30" t="n">
        <f aca="false">input!B6*12</f>
        <v>57600</v>
      </c>
      <c r="G45" s="30" t="n">
        <f aca="false">input!B7*12</f>
        <v>36000</v>
      </c>
      <c r="H45" s="30" t="n">
        <f aca="false">F45-G45</f>
        <v>21600</v>
      </c>
      <c r="I45" s="30" t="n">
        <f aca="false">input!B11*12+MAX(0, MIN(input!B18, H45/12)) * 12</f>
        <v>33096</v>
      </c>
      <c r="J45" s="30" t="n">
        <f aca="false">K44</f>
        <v>252235.172336</v>
      </c>
      <c r="K45" s="30" t="n">
        <f aca="false">J45*(1+input!B14)+I45*((1+input!B14)-1)/input!B14</f>
        <v>302987.63439952</v>
      </c>
      <c r="L45" s="30" t="n">
        <f aca="false">L44+MAX(0,H45/12)</f>
        <v>22724</v>
      </c>
      <c r="M45" s="30" t="n">
        <f aca="false">calc_metrics!B4</f>
        <v>2499900</v>
      </c>
      <c r="N45" s="31" t="str">
        <f aca="false">IF(K45&gt;=M45,"TRUE","FALSE")</f>
        <v>FALSE</v>
      </c>
      <c r="O45" s="32" t="n">
        <f aca="false">IFERROR(K45/M45,0)</f>
        <v>0.121199901755878</v>
      </c>
      <c r="P45" s="31" t="str">
        <f aca="false">IF(AND(L45&gt;=0,Q45&gt;=6,K45&gt;=M45*0.25),"TRUE","FALSE")</f>
        <v>FALSE</v>
      </c>
      <c r="Q45" s="33" t="n">
        <f aca="false">IFERROR(L45/(input!B7),0)</f>
        <v>7.57466666666667</v>
      </c>
      <c r="R45" s="28" t="s">
        <v>38</v>
      </c>
    </row>
    <row r="46" customFormat="false" ht="18" hidden="false" customHeight="true" outlineLevel="0" collapsed="false">
      <c r="A46" s="28" t="s">
        <v>79</v>
      </c>
      <c r="B46" s="28" t="s">
        <v>37</v>
      </c>
      <c r="C46" s="29" t="n">
        <v>4</v>
      </c>
      <c r="D46" s="29" t="n">
        <v>4</v>
      </c>
      <c r="E46" s="29" t="n">
        <f aca="false">input!B5+4</f>
        <v>42</v>
      </c>
      <c r="F46" s="30" t="n">
        <f aca="false">input!B6*12</f>
        <v>57600</v>
      </c>
      <c r="G46" s="30" t="n">
        <f aca="false">input!B7*12</f>
        <v>36000</v>
      </c>
      <c r="H46" s="30" t="n">
        <f aca="false">F46-G46</f>
        <v>21600</v>
      </c>
      <c r="I46" s="30" t="n">
        <f aca="false">input!B11*12+MAX(0, MIN(input!B18, H46/12)) * 12</f>
        <v>33096</v>
      </c>
      <c r="J46" s="30" t="n">
        <f aca="false">K45</f>
        <v>302987.63439952</v>
      </c>
      <c r="K46" s="30" t="n">
        <f aca="false">J46*(1+input!B14)+I46*((1+input!B14)-1)/input!B14</f>
        <v>357292.768807487</v>
      </c>
      <c r="L46" s="30" t="n">
        <f aca="false">L45+MAX(0,H46/12)</f>
        <v>24524</v>
      </c>
      <c r="M46" s="30" t="n">
        <f aca="false">calc_metrics!B4</f>
        <v>2499900</v>
      </c>
      <c r="N46" s="31" t="str">
        <f aca="false">IF(K46&gt;=M46,"TRUE","FALSE")</f>
        <v>FALSE</v>
      </c>
      <c r="O46" s="32" t="n">
        <f aca="false">IFERROR(K46/M46,0)</f>
        <v>0.142922824435972</v>
      </c>
      <c r="P46" s="31" t="str">
        <f aca="false">IF(AND(L46&gt;=0,Q46&gt;=6,K46&gt;=M46*0.25),"TRUE","FALSE")</f>
        <v>FALSE</v>
      </c>
      <c r="Q46" s="33" t="n">
        <f aca="false">IFERROR(L46/(input!B7),0)</f>
        <v>8.17466666666667</v>
      </c>
      <c r="R46" s="28" t="s">
        <v>38</v>
      </c>
    </row>
    <row r="47" customFormat="false" ht="18" hidden="false" customHeight="true" outlineLevel="0" collapsed="false">
      <c r="A47" s="28" t="s">
        <v>79</v>
      </c>
      <c r="B47" s="28" t="s">
        <v>37</v>
      </c>
      <c r="C47" s="29" t="n">
        <v>5</v>
      </c>
      <c r="D47" s="29" t="n">
        <v>5</v>
      </c>
      <c r="E47" s="29" t="n">
        <f aca="false">input!B5+5</f>
        <v>43</v>
      </c>
      <c r="F47" s="30" t="n">
        <f aca="false">input!B6*12</f>
        <v>57600</v>
      </c>
      <c r="G47" s="30" t="n">
        <f aca="false">input!B7*12</f>
        <v>36000</v>
      </c>
      <c r="H47" s="30" t="n">
        <f aca="false">F47-G47</f>
        <v>21600</v>
      </c>
      <c r="I47" s="30" t="n">
        <f aca="false">input!B11*12+MAX(0, MIN(input!B18, H47/12)) * 12</f>
        <v>33096</v>
      </c>
      <c r="J47" s="30" t="n">
        <f aca="false">K46</f>
        <v>357292.768807487</v>
      </c>
      <c r="K47" s="30" t="n">
        <f aca="false">J47*(1+input!B14)+I47*((1+input!B14)-1)/input!B14</f>
        <v>415399.262624011</v>
      </c>
      <c r="L47" s="30" t="n">
        <f aca="false">L46+MAX(0,H47/12)</f>
        <v>26324</v>
      </c>
      <c r="M47" s="30" t="n">
        <f aca="false">calc_metrics!B4</f>
        <v>2499900</v>
      </c>
      <c r="N47" s="31" t="str">
        <f aca="false">IF(K47&gt;=M47,"TRUE","FALSE")</f>
        <v>FALSE</v>
      </c>
      <c r="O47" s="32" t="n">
        <f aca="false">IFERROR(K47/M47,0)</f>
        <v>0.166166351703672</v>
      </c>
      <c r="P47" s="31" t="str">
        <f aca="false">IF(AND(L47&gt;=0,Q47&gt;=6,K47&gt;=M47*0.25),"TRUE","FALSE")</f>
        <v>FALSE</v>
      </c>
      <c r="Q47" s="33" t="n">
        <f aca="false">IFERROR(L47/(input!B7),0)</f>
        <v>8.77466666666667</v>
      </c>
      <c r="R47" s="28" t="s">
        <v>38</v>
      </c>
    </row>
    <row r="48" customFormat="false" ht="18" hidden="false" customHeight="true" outlineLevel="0" collapsed="false">
      <c r="A48" s="28" t="s">
        <v>79</v>
      </c>
      <c r="B48" s="28" t="s">
        <v>37</v>
      </c>
      <c r="C48" s="29" t="n">
        <v>6</v>
      </c>
      <c r="D48" s="29" t="n">
        <v>6</v>
      </c>
      <c r="E48" s="29" t="n">
        <f aca="false">input!B5+6</f>
        <v>44</v>
      </c>
      <c r="F48" s="30" t="n">
        <f aca="false">input!B6*12</f>
        <v>57600</v>
      </c>
      <c r="G48" s="30" t="n">
        <f aca="false">input!B7*12</f>
        <v>36000</v>
      </c>
      <c r="H48" s="30" t="n">
        <f aca="false">F48-G48</f>
        <v>21600</v>
      </c>
      <c r="I48" s="30" t="n">
        <f aca="false">input!B11*12+MAX(0, MIN(input!B18, H48/12)) * 12</f>
        <v>33096</v>
      </c>
      <c r="J48" s="30" t="n">
        <f aca="false">K47</f>
        <v>415399.262624011</v>
      </c>
      <c r="K48" s="30" t="n">
        <f aca="false">J48*(1+input!B14)+I48*((1+input!B14)-1)/input!B14</f>
        <v>477573.211007692</v>
      </c>
      <c r="L48" s="30" t="n">
        <f aca="false">L47+MAX(0,H48/12)</f>
        <v>28124</v>
      </c>
      <c r="M48" s="30" t="n">
        <f aca="false">calc_metrics!B4</f>
        <v>2499900</v>
      </c>
      <c r="N48" s="31" t="str">
        <f aca="false">IF(K48&gt;=M48,"TRUE","FALSE")</f>
        <v>FALSE</v>
      </c>
      <c r="O48" s="32" t="n">
        <f aca="false">IFERROR(K48/M48,0)</f>
        <v>0.191036925880112</v>
      </c>
      <c r="P48" s="31" t="str">
        <f aca="false">IF(AND(L48&gt;=0,Q48&gt;=6,K48&gt;=M48*0.25),"TRUE","FALSE")</f>
        <v>FALSE</v>
      </c>
      <c r="Q48" s="33" t="n">
        <f aca="false">IFERROR(L48/(input!B7),0)</f>
        <v>9.37466666666667</v>
      </c>
      <c r="R48" s="28" t="s">
        <v>38</v>
      </c>
    </row>
    <row r="49" customFormat="false" ht="18" hidden="false" customHeight="true" outlineLevel="0" collapsed="false">
      <c r="A49" s="28" t="s">
        <v>79</v>
      </c>
      <c r="B49" s="28" t="s">
        <v>37</v>
      </c>
      <c r="C49" s="29" t="n">
        <v>7</v>
      </c>
      <c r="D49" s="29" t="n">
        <v>7</v>
      </c>
      <c r="E49" s="29" t="n">
        <f aca="false">input!B5+7</f>
        <v>45</v>
      </c>
      <c r="F49" s="30" t="n">
        <f aca="false">input!B6*12</f>
        <v>57600</v>
      </c>
      <c r="G49" s="30" t="n">
        <f aca="false">input!B7*12</f>
        <v>36000</v>
      </c>
      <c r="H49" s="30" t="n">
        <f aca="false">F49-G49</f>
        <v>21600</v>
      </c>
      <c r="I49" s="30" t="n">
        <f aca="false">input!B11*12+MAX(0, MIN(input!B18, H49/12)) * 12</f>
        <v>33096</v>
      </c>
      <c r="J49" s="30" t="n">
        <f aca="false">K48</f>
        <v>477573.211007692</v>
      </c>
      <c r="K49" s="30" t="n">
        <f aca="false">J49*(1+input!B14)+I49*((1+input!B14)-1)/input!B14</f>
        <v>544099.33577823</v>
      </c>
      <c r="L49" s="30" t="n">
        <f aca="false">L48+MAX(0,H49/12)</f>
        <v>29924</v>
      </c>
      <c r="M49" s="30" t="n">
        <f aca="false">calc_metrics!B4</f>
        <v>2499900</v>
      </c>
      <c r="N49" s="31" t="str">
        <f aca="false">IF(K49&gt;=M49,"TRUE","FALSE")</f>
        <v>FALSE</v>
      </c>
      <c r="O49" s="32" t="n">
        <f aca="false">IFERROR(K49/M49,0)</f>
        <v>0.217648440248902</v>
      </c>
      <c r="P49" s="31" t="str">
        <f aca="false">IF(AND(L49&gt;=0,Q49&gt;=6,K49&gt;=M49*0.25),"TRUE","FALSE")</f>
        <v>FALSE</v>
      </c>
      <c r="Q49" s="33" t="n">
        <f aca="false">IFERROR(L49/(input!B7),0)</f>
        <v>9.97466666666667</v>
      </c>
      <c r="R49" s="28" t="s">
        <v>38</v>
      </c>
    </row>
    <row r="50" customFormat="false" ht="18" hidden="false" customHeight="true" outlineLevel="0" collapsed="false">
      <c r="A50" s="28" t="s">
        <v>79</v>
      </c>
      <c r="B50" s="28" t="s">
        <v>37</v>
      </c>
      <c r="C50" s="29" t="n">
        <v>8</v>
      </c>
      <c r="D50" s="29" t="n">
        <v>8</v>
      </c>
      <c r="E50" s="29" t="n">
        <f aca="false">input!B5+8</f>
        <v>46</v>
      </c>
      <c r="F50" s="30" t="n">
        <f aca="false">input!B6*12</f>
        <v>57600</v>
      </c>
      <c r="G50" s="30" t="n">
        <f aca="false">input!B7*12</f>
        <v>36000</v>
      </c>
      <c r="H50" s="30" t="n">
        <f aca="false">F50-G50</f>
        <v>21600</v>
      </c>
      <c r="I50" s="30" t="n">
        <f aca="false">input!B11*12+MAX(0, MIN(input!B18, H50/12)) * 12</f>
        <v>33096</v>
      </c>
      <c r="J50" s="30" t="n">
        <f aca="false">K49</f>
        <v>544099.33577823</v>
      </c>
      <c r="K50" s="30" t="n">
        <f aca="false">J50*(1+input!B14)+I50*((1+input!B14)-1)/input!B14</f>
        <v>615282.289282706</v>
      </c>
      <c r="L50" s="30" t="n">
        <f aca="false">L49+MAX(0,H50/12)</f>
        <v>31724</v>
      </c>
      <c r="M50" s="30" t="n">
        <f aca="false">calc_metrics!B4</f>
        <v>2499900</v>
      </c>
      <c r="N50" s="31" t="str">
        <f aca="false">IF(K50&gt;=M50,"TRUE","FALSE")</f>
        <v>FALSE</v>
      </c>
      <c r="O50" s="32" t="n">
        <f aca="false">IFERROR(K50/M50,0)</f>
        <v>0.246122760623507</v>
      </c>
      <c r="P50" s="31" t="str">
        <f aca="false">IF(AND(L50&gt;=0,Q50&gt;=6,K50&gt;=M50*0.25),"TRUE","FALSE")</f>
        <v>FALSE</v>
      </c>
      <c r="Q50" s="33" t="n">
        <f aca="false">IFERROR(L50/(input!B7),0)</f>
        <v>10.5746666666667</v>
      </c>
      <c r="R50" s="28" t="s">
        <v>38</v>
      </c>
    </row>
    <row r="51" customFormat="false" ht="18" hidden="false" customHeight="true" outlineLevel="0" collapsed="false">
      <c r="A51" s="28" t="s">
        <v>79</v>
      </c>
      <c r="B51" s="28" t="s">
        <v>37</v>
      </c>
      <c r="C51" s="29" t="n">
        <v>9</v>
      </c>
      <c r="D51" s="29" t="n">
        <v>9</v>
      </c>
      <c r="E51" s="29" t="n">
        <f aca="false">input!B5+9</f>
        <v>47</v>
      </c>
      <c r="F51" s="30" t="n">
        <f aca="false">input!B6*12</f>
        <v>57600</v>
      </c>
      <c r="G51" s="30" t="n">
        <f aca="false">input!B7*12</f>
        <v>36000</v>
      </c>
      <c r="H51" s="30" t="n">
        <f aca="false">F51-G51</f>
        <v>21600</v>
      </c>
      <c r="I51" s="30" t="n">
        <f aca="false">input!B11*12+MAX(0, MIN(input!B18, H51/12)) * 12</f>
        <v>33096</v>
      </c>
      <c r="J51" s="30" t="n">
        <f aca="false">K50</f>
        <v>615282.289282706</v>
      </c>
      <c r="K51" s="30" t="n">
        <f aca="false">J51*(1+input!B14)+I51*((1+input!B14)-1)/input!B14</f>
        <v>691448.049532496</v>
      </c>
      <c r="L51" s="30" t="n">
        <f aca="false">L50+MAX(0,H51/12)</f>
        <v>33524</v>
      </c>
      <c r="M51" s="30" t="n">
        <f aca="false">calc_metrics!B4</f>
        <v>2499900</v>
      </c>
      <c r="N51" s="31" t="str">
        <f aca="false">IF(K51&gt;=M51,"TRUE","FALSE")</f>
        <v>FALSE</v>
      </c>
      <c r="O51" s="32" t="n">
        <f aca="false">IFERROR(K51/M51,0)</f>
        <v>0.276590283424335</v>
      </c>
      <c r="P51" s="31" t="str">
        <f aca="false">IF(AND(L51&gt;=0,Q51&gt;=6,K51&gt;=M51*0.25),"TRUE","FALSE")</f>
        <v>TRUE</v>
      </c>
      <c r="Q51" s="33" t="n">
        <f aca="false">IFERROR(L51/(input!B7),0)</f>
        <v>11.1746666666667</v>
      </c>
      <c r="R51" s="28" t="s">
        <v>38</v>
      </c>
    </row>
    <row r="52" customFormat="false" ht="18" hidden="false" customHeight="true" outlineLevel="0" collapsed="false">
      <c r="A52" s="28" t="s">
        <v>79</v>
      </c>
      <c r="B52" s="28" t="s">
        <v>37</v>
      </c>
      <c r="C52" s="29" t="n">
        <v>10</v>
      </c>
      <c r="D52" s="29" t="n">
        <v>10</v>
      </c>
      <c r="E52" s="29" t="n">
        <f aca="false">input!B5+10</f>
        <v>48</v>
      </c>
      <c r="F52" s="30" t="n">
        <f aca="false">input!B6*12</f>
        <v>57600</v>
      </c>
      <c r="G52" s="30" t="n">
        <f aca="false">input!B7*12</f>
        <v>36000</v>
      </c>
      <c r="H52" s="30" t="n">
        <f aca="false">F52-G52</f>
        <v>21600</v>
      </c>
      <c r="I52" s="30" t="n">
        <f aca="false">input!B11*12+MAX(0, MIN(input!B18, H52/12)) * 12</f>
        <v>33096</v>
      </c>
      <c r="J52" s="30" t="n">
        <f aca="false">K51</f>
        <v>691448.049532496</v>
      </c>
      <c r="K52" s="30" t="n">
        <f aca="false">J52*(1+input!B14)+I52*((1+input!B14)-1)/input!B14</f>
        <v>772945.41299977</v>
      </c>
      <c r="L52" s="30" t="n">
        <f aca="false">L51+MAX(0,H52/12)</f>
        <v>35324</v>
      </c>
      <c r="M52" s="30" t="n">
        <f aca="false">calc_metrics!B4</f>
        <v>2499900</v>
      </c>
      <c r="N52" s="31" t="str">
        <f aca="false">IF(K52&gt;=M52,"TRUE","FALSE")</f>
        <v>FALSE</v>
      </c>
      <c r="O52" s="32" t="n">
        <f aca="false">IFERROR(K52/M52,0)</f>
        <v>0.309190532821221</v>
      </c>
      <c r="P52" s="31" t="str">
        <f aca="false">IF(AND(L52&gt;=0,Q52&gt;=6,K52&gt;=M52*0.25),"TRUE","FALSE")</f>
        <v>TRUE</v>
      </c>
      <c r="Q52" s="33" t="n">
        <f aca="false">IFERROR(L52/(input!B7),0)</f>
        <v>11.7746666666667</v>
      </c>
      <c r="R52" s="28" t="s">
        <v>38</v>
      </c>
    </row>
    <row r="53" customFormat="false" ht="18" hidden="false" customHeight="true" outlineLevel="0" collapsed="false">
      <c r="A53" s="28" t="s">
        <v>79</v>
      </c>
      <c r="B53" s="28" t="s">
        <v>37</v>
      </c>
      <c r="C53" s="29" t="n">
        <v>11</v>
      </c>
      <c r="D53" s="29" t="n">
        <v>11</v>
      </c>
      <c r="E53" s="29" t="n">
        <f aca="false">input!B5+11</f>
        <v>49</v>
      </c>
      <c r="F53" s="30" t="n">
        <f aca="false">input!B6*12</f>
        <v>57600</v>
      </c>
      <c r="G53" s="30" t="n">
        <f aca="false">input!B7*12</f>
        <v>36000</v>
      </c>
      <c r="H53" s="30" t="n">
        <f aca="false">F53-G53</f>
        <v>21600</v>
      </c>
      <c r="I53" s="30" t="n">
        <f aca="false">input!B11*12+MAX(0, MIN(input!B18, H53/12)) * 12</f>
        <v>33096</v>
      </c>
      <c r="J53" s="30" t="n">
        <f aca="false">K52</f>
        <v>772945.41299977</v>
      </c>
      <c r="K53" s="30" t="n">
        <f aca="false">J53*(1+input!B14)+I53*((1+input!B14)-1)/input!B14</f>
        <v>860147.591909754</v>
      </c>
      <c r="L53" s="30" t="n">
        <f aca="false">L52+MAX(0,H53/12)</f>
        <v>37124</v>
      </c>
      <c r="M53" s="30" t="n">
        <f aca="false">calc_metrics!B4</f>
        <v>2499900</v>
      </c>
      <c r="N53" s="31" t="str">
        <f aca="false">IF(K53&gt;=M53,"TRUE","FALSE")</f>
        <v>FALSE</v>
      </c>
      <c r="O53" s="32" t="n">
        <f aca="false">IFERROR(K53/M53,0)</f>
        <v>0.344072799675889</v>
      </c>
      <c r="P53" s="31" t="str">
        <f aca="false">IF(AND(L53&gt;=0,Q53&gt;=6,K53&gt;=M53*0.25),"TRUE","FALSE")</f>
        <v>TRUE</v>
      </c>
      <c r="Q53" s="33" t="n">
        <f aca="false">IFERROR(L53/(input!B7),0)</f>
        <v>12.3746666666667</v>
      </c>
      <c r="R53" s="28" t="s">
        <v>38</v>
      </c>
    </row>
    <row r="54" customFormat="false" ht="18" hidden="false" customHeight="true" outlineLevel="0" collapsed="false">
      <c r="A54" s="28" t="s">
        <v>79</v>
      </c>
      <c r="B54" s="28" t="s">
        <v>37</v>
      </c>
      <c r="C54" s="29" t="n">
        <v>12</v>
      </c>
      <c r="D54" s="29" t="n">
        <v>12</v>
      </c>
      <c r="E54" s="29" t="n">
        <f aca="false">input!B5+12</f>
        <v>50</v>
      </c>
      <c r="F54" s="30" t="n">
        <f aca="false">input!B6*12</f>
        <v>57600</v>
      </c>
      <c r="G54" s="30" t="n">
        <f aca="false">input!B7*12</f>
        <v>36000</v>
      </c>
      <c r="H54" s="30" t="n">
        <f aca="false">F54-G54</f>
        <v>21600</v>
      </c>
      <c r="I54" s="30" t="n">
        <f aca="false">input!B11*12+MAX(0, MIN(input!B18, H54/12)) * 12</f>
        <v>33096</v>
      </c>
      <c r="J54" s="30" t="n">
        <f aca="false">K53</f>
        <v>860147.591909754</v>
      </c>
      <c r="K54" s="30" t="n">
        <f aca="false">J54*(1+input!B14)+I54*((1+input!B14)-1)/input!B14</f>
        <v>953453.923343437</v>
      </c>
      <c r="L54" s="30" t="n">
        <f aca="false">L53+MAX(0,H54/12)</f>
        <v>38924</v>
      </c>
      <c r="M54" s="30" t="n">
        <f aca="false">calc_metrics!B4</f>
        <v>2499900</v>
      </c>
      <c r="N54" s="31" t="str">
        <f aca="false">IF(K54&gt;=M54,"TRUE","FALSE")</f>
        <v>FALSE</v>
      </c>
      <c r="O54" s="32" t="n">
        <f aca="false">IFERROR(K54/M54,0)</f>
        <v>0.381396825210383</v>
      </c>
      <c r="P54" s="31" t="str">
        <f aca="false">IF(AND(L54&gt;=0,Q54&gt;=6,K54&gt;=M54*0.25),"TRUE","FALSE")</f>
        <v>TRUE</v>
      </c>
      <c r="Q54" s="33" t="n">
        <f aca="false">IFERROR(L54/(input!B7),0)</f>
        <v>12.9746666666667</v>
      </c>
      <c r="R54" s="28" t="s">
        <v>38</v>
      </c>
    </row>
    <row r="55" customFormat="false" ht="18" hidden="false" customHeight="true" outlineLevel="0" collapsed="false">
      <c r="A55" s="28" t="s">
        <v>79</v>
      </c>
      <c r="B55" s="28" t="s">
        <v>37</v>
      </c>
      <c r="C55" s="29" t="n">
        <v>13</v>
      </c>
      <c r="D55" s="29" t="n">
        <v>13</v>
      </c>
      <c r="E55" s="29" t="n">
        <f aca="false">input!B5+13</f>
        <v>51</v>
      </c>
      <c r="F55" s="30" t="n">
        <f aca="false">input!B6*12</f>
        <v>57600</v>
      </c>
      <c r="G55" s="30" t="n">
        <f aca="false">input!B7*12</f>
        <v>36000</v>
      </c>
      <c r="H55" s="30" t="n">
        <f aca="false">F55-G55</f>
        <v>21600</v>
      </c>
      <c r="I55" s="30" t="n">
        <f aca="false">input!B11*12+MAX(0, MIN(input!B18, H55/12)) * 12</f>
        <v>33096</v>
      </c>
      <c r="J55" s="30" t="n">
        <f aca="false">K54</f>
        <v>953453.923343437</v>
      </c>
      <c r="K55" s="30" t="n">
        <f aca="false">J55*(1+input!B14)+I55*((1+input!B14)-1)/input!B14</f>
        <v>1053291.69797748</v>
      </c>
      <c r="L55" s="30" t="n">
        <f aca="false">L54+MAX(0,H55/12)</f>
        <v>40724</v>
      </c>
      <c r="M55" s="30" t="n">
        <f aca="false">calc_metrics!B4</f>
        <v>2499900</v>
      </c>
      <c r="N55" s="31" t="str">
        <f aca="false">IF(K55&gt;=M55,"TRUE","FALSE")</f>
        <v>FALSE</v>
      </c>
      <c r="O55" s="32" t="n">
        <f aca="false">IFERROR(K55/M55,0)</f>
        <v>0.421333532532292</v>
      </c>
      <c r="P55" s="31" t="str">
        <f aca="false">IF(AND(L55&gt;=0,Q55&gt;=6,K55&gt;=M55*0.25),"TRUE","FALSE")</f>
        <v>TRUE</v>
      </c>
      <c r="Q55" s="33" t="n">
        <f aca="false">IFERROR(L55/(input!B7),0)</f>
        <v>13.5746666666667</v>
      </c>
      <c r="R55" s="28" t="s">
        <v>38</v>
      </c>
    </row>
    <row r="56" customFormat="false" ht="18" hidden="false" customHeight="true" outlineLevel="0" collapsed="false">
      <c r="A56" s="28" t="s">
        <v>79</v>
      </c>
      <c r="B56" s="28" t="s">
        <v>37</v>
      </c>
      <c r="C56" s="29" t="n">
        <v>14</v>
      </c>
      <c r="D56" s="29" t="n">
        <v>14</v>
      </c>
      <c r="E56" s="29" t="n">
        <f aca="false">input!B5+14</f>
        <v>52</v>
      </c>
      <c r="F56" s="30" t="n">
        <f aca="false">input!B6*12</f>
        <v>57600</v>
      </c>
      <c r="G56" s="30" t="n">
        <f aca="false">input!B7*12</f>
        <v>36000</v>
      </c>
      <c r="H56" s="30" t="n">
        <f aca="false">F56-G56</f>
        <v>21600</v>
      </c>
      <c r="I56" s="30" t="n">
        <f aca="false">input!B11*12+MAX(0, MIN(input!B18, H56/12)) * 12</f>
        <v>33096</v>
      </c>
      <c r="J56" s="30" t="n">
        <f aca="false">K55</f>
        <v>1053291.69797748</v>
      </c>
      <c r="K56" s="30" t="n">
        <f aca="false">J56*(1+input!B14)+I56*((1+input!B14)-1)/input!B14</f>
        <v>1160118.1168359</v>
      </c>
      <c r="L56" s="30" t="n">
        <f aca="false">L55+MAX(0,H56/12)</f>
        <v>42524</v>
      </c>
      <c r="M56" s="30" t="n">
        <f aca="false">calc_metrics!B4</f>
        <v>2499900</v>
      </c>
      <c r="N56" s="31" t="str">
        <f aca="false">IF(K56&gt;=M56,"TRUE","FALSE")</f>
        <v>FALSE</v>
      </c>
      <c r="O56" s="32" t="n">
        <f aca="false">IFERROR(K56/M56,0)</f>
        <v>0.464065809366735</v>
      </c>
      <c r="P56" s="31" t="str">
        <f aca="false">IF(AND(L56&gt;=0,Q56&gt;=6,K56&gt;=M56*0.25),"TRUE","FALSE")</f>
        <v>TRUE</v>
      </c>
      <c r="Q56" s="33" t="n">
        <f aca="false">IFERROR(L56/(input!B7),0)</f>
        <v>14.1746666666667</v>
      </c>
      <c r="R56" s="28" t="s">
        <v>38</v>
      </c>
    </row>
    <row r="57" customFormat="false" ht="18" hidden="false" customHeight="true" outlineLevel="0" collapsed="false">
      <c r="A57" s="28" t="s">
        <v>79</v>
      </c>
      <c r="B57" s="28" t="s">
        <v>37</v>
      </c>
      <c r="C57" s="29" t="n">
        <v>15</v>
      </c>
      <c r="D57" s="29" t="n">
        <v>15</v>
      </c>
      <c r="E57" s="29" t="n">
        <f aca="false">input!B5+15</f>
        <v>53</v>
      </c>
      <c r="F57" s="30" t="n">
        <f aca="false">input!B6*12</f>
        <v>57600</v>
      </c>
      <c r="G57" s="30" t="n">
        <f aca="false">input!B7*12</f>
        <v>36000</v>
      </c>
      <c r="H57" s="30" t="n">
        <f aca="false">F57-G57</f>
        <v>21600</v>
      </c>
      <c r="I57" s="30" t="n">
        <f aca="false">input!B11*12+MAX(0, MIN(input!B18, H57/12)) * 12</f>
        <v>33096</v>
      </c>
      <c r="J57" s="30" t="n">
        <f aca="false">K56</f>
        <v>1160118.1168359</v>
      </c>
      <c r="K57" s="30" t="n">
        <f aca="false">J57*(1+input!B14)+I57*((1+input!B14)-1)/input!B14</f>
        <v>1274422.38501441</v>
      </c>
      <c r="L57" s="30" t="n">
        <f aca="false">L56+MAX(0,H57/12)</f>
        <v>44324</v>
      </c>
      <c r="M57" s="30" t="n">
        <f aca="false">calc_metrics!B4</f>
        <v>2499900</v>
      </c>
      <c r="N57" s="31" t="str">
        <f aca="false">IF(K57&gt;=M57,"TRUE","FALSE")</f>
        <v>FALSE</v>
      </c>
      <c r="O57" s="32" t="n">
        <f aca="false">IFERROR(K57/M57,0)</f>
        <v>0.509789345579589</v>
      </c>
      <c r="P57" s="31" t="str">
        <f aca="false">IF(AND(L57&gt;=0,Q57&gt;=6,K57&gt;=M57*0.25),"TRUE","FALSE")</f>
        <v>TRUE</v>
      </c>
      <c r="Q57" s="33" t="n">
        <f aca="false">IFERROR(L57/(input!B7),0)</f>
        <v>14.7746666666667</v>
      </c>
      <c r="R57" s="28" t="s">
        <v>38</v>
      </c>
    </row>
    <row r="58" customFormat="false" ht="18" hidden="false" customHeight="true" outlineLevel="0" collapsed="false">
      <c r="A58" s="28" t="s">
        <v>79</v>
      </c>
      <c r="B58" s="28" t="s">
        <v>37</v>
      </c>
      <c r="C58" s="29" t="n">
        <v>16</v>
      </c>
      <c r="D58" s="29" t="n">
        <v>16</v>
      </c>
      <c r="E58" s="29" t="n">
        <f aca="false">input!B5+16</f>
        <v>54</v>
      </c>
      <c r="F58" s="30" t="n">
        <f aca="false">input!B6*12</f>
        <v>57600</v>
      </c>
      <c r="G58" s="30" t="n">
        <f aca="false">input!B7*12</f>
        <v>36000</v>
      </c>
      <c r="H58" s="30" t="n">
        <f aca="false">F58-G58</f>
        <v>21600</v>
      </c>
      <c r="I58" s="30" t="n">
        <f aca="false">input!B11*12+MAX(0, MIN(input!B18, H58/12)) * 12</f>
        <v>33096</v>
      </c>
      <c r="J58" s="30" t="n">
        <f aca="false">K57</f>
        <v>1274422.38501441</v>
      </c>
      <c r="K58" s="30" t="n">
        <f aca="false">J58*(1+input!B14)+I58*((1+input!B14)-1)/input!B14</f>
        <v>1396727.95196542</v>
      </c>
      <c r="L58" s="30" t="n">
        <f aca="false">L57+MAX(0,H58/12)</f>
        <v>46124</v>
      </c>
      <c r="M58" s="30" t="n">
        <f aca="false">calc_metrics!B4</f>
        <v>2499900</v>
      </c>
      <c r="N58" s="31" t="str">
        <f aca="false">IF(K58&gt;=M58,"TRUE","FALSE")</f>
        <v>FALSE</v>
      </c>
      <c r="O58" s="32" t="n">
        <f aca="false">IFERROR(K58/M58,0)</f>
        <v>0.558713529327343</v>
      </c>
      <c r="P58" s="31" t="str">
        <f aca="false">IF(AND(L58&gt;=0,Q58&gt;=6,K58&gt;=M58*0.25),"TRUE","FALSE")</f>
        <v>TRUE</v>
      </c>
      <c r="Q58" s="33" t="n">
        <f aca="false">IFERROR(L58/(input!B7),0)</f>
        <v>15.3746666666667</v>
      </c>
      <c r="R58" s="28" t="s">
        <v>38</v>
      </c>
    </row>
    <row r="59" customFormat="false" ht="18" hidden="false" customHeight="true" outlineLevel="0" collapsed="false">
      <c r="A59" s="28" t="s">
        <v>79</v>
      </c>
      <c r="B59" s="28" t="s">
        <v>37</v>
      </c>
      <c r="C59" s="29" t="n">
        <v>17</v>
      </c>
      <c r="D59" s="29" t="n">
        <v>17</v>
      </c>
      <c r="E59" s="29" t="n">
        <f aca="false">input!B5+17</f>
        <v>55</v>
      </c>
      <c r="F59" s="30" t="n">
        <f aca="false">input!B6*12</f>
        <v>57600</v>
      </c>
      <c r="G59" s="30" t="n">
        <f aca="false">input!B7*12</f>
        <v>36000</v>
      </c>
      <c r="H59" s="30" t="n">
        <f aca="false">F59-G59</f>
        <v>21600</v>
      </c>
      <c r="I59" s="30" t="n">
        <f aca="false">input!B11*12+MAX(0, MIN(input!B18, H59/12)) * 12</f>
        <v>33096</v>
      </c>
      <c r="J59" s="30" t="n">
        <f aca="false">K58</f>
        <v>1396727.95196542</v>
      </c>
      <c r="K59" s="30" t="n">
        <f aca="false">J59*(1+input!B14)+I59*((1+input!B14)-1)/input!B14</f>
        <v>1527594.908603</v>
      </c>
      <c r="L59" s="30" t="n">
        <f aca="false">L58+MAX(0,H59/12)</f>
        <v>47924</v>
      </c>
      <c r="M59" s="30" t="n">
        <f aca="false">calc_metrics!B4</f>
        <v>2499900</v>
      </c>
      <c r="N59" s="31" t="str">
        <f aca="false">IF(K59&gt;=M59,"TRUE","FALSE")</f>
        <v>FALSE</v>
      </c>
      <c r="O59" s="32" t="n">
        <f aca="false">IFERROR(K59/M59,0)</f>
        <v>0.611062405937439</v>
      </c>
      <c r="P59" s="31" t="str">
        <f aca="false">IF(AND(L59&gt;=0,Q59&gt;=6,K59&gt;=M59*0.25),"TRUE","FALSE")</f>
        <v>TRUE</v>
      </c>
      <c r="Q59" s="33" t="n">
        <f aca="false">IFERROR(L59/(input!B7),0)</f>
        <v>15.9746666666667</v>
      </c>
      <c r="R59" s="28" t="s">
        <v>38</v>
      </c>
    </row>
    <row r="60" customFormat="false" ht="18" hidden="false" customHeight="true" outlineLevel="0" collapsed="false">
      <c r="A60" s="28" t="s">
        <v>79</v>
      </c>
      <c r="B60" s="28" t="s">
        <v>37</v>
      </c>
      <c r="C60" s="29" t="n">
        <v>18</v>
      </c>
      <c r="D60" s="29" t="n">
        <v>18</v>
      </c>
      <c r="E60" s="29" t="n">
        <f aca="false">input!B5+18</f>
        <v>56</v>
      </c>
      <c r="F60" s="30" t="n">
        <f aca="false">input!B6*12</f>
        <v>57600</v>
      </c>
      <c r="G60" s="30" t="n">
        <f aca="false">input!B7*12</f>
        <v>36000</v>
      </c>
      <c r="H60" s="30" t="n">
        <f aca="false">F60-G60</f>
        <v>21600</v>
      </c>
      <c r="I60" s="30" t="n">
        <f aca="false">input!B11*12+MAX(0, MIN(input!B18, H60/12)) * 12</f>
        <v>33096</v>
      </c>
      <c r="J60" s="30" t="n">
        <f aca="false">K59</f>
        <v>1527594.908603</v>
      </c>
      <c r="K60" s="30" t="n">
        <f aca="false">J60*(1+input!B14)+I60*((1+input!B14)-1)/input!B14</f>
        <v>1667622.55220521</v>
      </c>
      <c r="L60" s="30" t="n">
        <f aca="false">L59+MAX(0,H60/12)</f>
        <v>49724</v>
      </c>
      <c r="M60" s="30" t="n">
        <f aca="false">calc_metrics!B4</f>
        <v>2499900</v>
      </c>
      <c r="N60" s="31" t="str">
        <f aca="false">IF(K60&gt;=M60,"TRUE","FALSE")</f>
        <v>FALSE</v>
      </c>
      <c r="O60" s="32" t="n">
        <f aca="false">IFERROR(K60/M60,0)</f>
        <v>0.667075703910242</v>
      </c>
      <c r="P60" s="31" t="str">
        <f aca="false">IF(AND(L60&gt;=0,Q60&gt;=6,K60&gt;=M60*0.25),"TRUE","FALSE")</f>
        <v>TRUE</v>
      </c>
      <c r="Q60" s="33" t="n">
        <f aca="false">IFERROR(L60/(input!B7),0)</f>
        <v>16.5746666666667</v>
      </c>
      <c r="R60" s="28" t="s">
        <v>38</v>
      </c>
    </row>
    <row r="61" customFormat="false" ht="18" hidden="false" customHeight="true" outlineLevel="0" collapsed="false">
      <c r="A61" s="28" t="s">
        <v>79</v>
      </c>
      <c r="B61" s="28" t="s">
        <v>37</v>
      </c>
      <c r="C61" s="29" t="n">
        <v>19</v>
      </c>
      <c r="D61" s="29" t="n">
        <v>19</v>
      </c>
      <c r="E61" s="29" t="n">
        <f aca="false">input!B5+19</f>
        <v>57</v>
      </c>
      <c r="F61" s="30" t="n">
        <f aca="false">input!B6*12</f>
        <v>57600</v>
      </c>
      <c r="G61" s="30" t="n">
        <f aca="false">input!B7*12</f>
        <v>36000</v>
      </c>
      <c r="H61" s="30" t="n">
        <f aca="false">F61-G61</f>
        <v>21600</v>
      </c>
      <c r="I61" s="30" t="n">
        <f aca="false">input!B11*12+MAX(0, MIN(input!B18, H61/12)) * 12</f>
        <v>33096</v>
      </c>
      <c r="J61" s="30" t="n">
        <f aca="false">K60</f>
        <v>1667622.55220521</v>
      </c>
      <c r="K61" s="30" t="n">
        <f aca="false">J61*(1+input!B14)+I61*((1+input!B14)-1)/input!B14</f>
        <v>1817452.13085958</v>
      </c>
      <c r="L61" s="30" t="n">
        <f aca="false">L60+MAX(0,H61/12)</f>
        <v>51524</v>
      </c>
      <c r="M61" s="30" t="n">
        <f aca="false">calc_metrics!B4</f>
        <v>2499900</v>
      </c>
      <c r="N61" s="31" t="str">
        <f aca="false">IF(K61&gt;=M61,"TRUE","FALSE")</f>
        <v>FALSE</v>
      </c>
      <c r="O61" s="32" t="n">
        <f aca="false">IFERROR(K61/M61,0)</f>
        <v>0.727009932741141</v>
      </c>
      <c r="P61" s="31" t="str">
        <f aca="false">IF(AND(L61&gt;=0,Q61&gt;=6,K61&gt;=M61*0.25),"TRUE","FALSE")</f>
        <v>TRUE</v>
      </c>
      <c r="Q61" s="33" t="n">
        <f aca="false">IFERROR(L61/(input!B7),0)</f>
        <v>17.1746666666667</v>
      </c>
      <c r="R61" s="28" t="s">
        <v>38</v>
      </c>
    </row>
    <row r="62" customFormat="false" ht="18" hidden="false" customHeight="true" outlineLevel="0" collapsed="false">
      <c r="A62" s="28" t="s">
        <v>79</v>
      </c>
      <c r="B62" s="28" t="s">
        <v>37</v>
      </c>
      <c r="C62" s="29" t="n">
        <v>20</v>
      </c>
      <c r="D62" s="29" t="n">
        <v>20</v>
      </c>
      <c r="E62" s="29" t="n">
        <f aca="false">input!B5+20</f>
        <v>58</v>
      </c>
      <c r="F62" s="30" t="n">
        <f aca="false">input!B6*12</f>
        <v>57600</v>
      </c>
      <c r="G62" s="30" t="n">
        <f aca="false">input!B7*12</f>
        <v>36000</v>
      </c>
      <c r="H62" s="30" t="n">
        <f aca="false">F62-G62</f>
        <v>21600</v>
      </c>
      <c r="I62" s="30" t="n">
        <f aca="false">input!B11*12+MAX(0, MIN(input!B18, H62/12)) * 12</f>
        <v>33096</v>
      </c>
      <c r="J62" s="30" t="n">
        <f aca="false">K61</f>
        <v>1817452.13085958</v>
      </c>
      <c r="K62" s="30" t="n">
        <f aca="false">J62*(1+input!B14)+I62*((1+input!B14)-1)/input!B14</f>
        <v>1977769.78001975</v>
      </c>
      <c r="L62" s="30" t="n">
        <f aca="false">L61+MAX(0,H62/12)</f>
        <v>53324</v>
      </c>
      <c r="M62" s="30" t="n">
        <f aca="false">calc_metrics!B4</f>
        <v>2499900</v>
      </c>
      <c r="N62" s="31" t="str">
        <f aca="false">IF(K62&gt;=M62,"TRUE","FALSE")</f>
        <v>FALSE</v>
      </c>
      <c r="O62" s="32" t="n">
        <f aca="false">IFERROR(K62/M62,0)</f>
        <v>0.791139557590204</v>
      </c>
      <c r="P62" s="31" t="str">
        <f aca="false">IF(AND(L62&gt;=0,Q62&gt;=6,K62&gt;=M62*0.25),"TRUE","FALSE")</f>
        <v>TRUE</v>
      </c>
      <c r="Q62" s="33" t="n">
        <f aca="false">IFERROR(L62/(input!B7),0)</f>
        <v>17.7746666666667</v>
      </c>
      <c r="R62" s="28" t="s">
        <v>38</v>
      </c>
    </row>
    <row r="63" customFormat="false" ht="18" hidden="false" customHeight="true" outlineLevel="0" collapsed="false">
      <c r="A63" s="28" t="s">
        <v>79</v>
      </c>
      <c r="B63" s="28" t="s">
        <v>37</v>
      </c>
      <c r="C63" s="29" t="n">
        <v>21</v>
      </c>
      <c r="D63" s="29" t="n">
        <v>21</v>
      </c>
      <c r="E63" s="29" t="n">
        <f aca="false">input!B5+21</f>
        <v>59</v>
      </c>
      <c r="F63" s="30" t="n">
        <f aca="false">input!B6*12</f>
        <v>57600</v>
      </c>
      <c r="G63" s="30" t="n">
        <f aca="false">input!B7*12</f>
        <v>36000</v>
      </c>
      <c r="H63" s="30" t="n">
        <f aca="false">F63-G63</f>
        <v>21600</v>
      </c>
      <c r="I63" s="30" t="n">
        <f aca="false">input!B11*12+MAX(0, MIN(input!B18, H63/12)) * 12</f>
        <v>33096</v>
      </c>
      <c r="J63" s="30" t="n">
        <f aca="false">K62</f>
        <v>1977769.78001975</v>
      </c>
      <c r="K63" s="30" t="n">
        <f aca="false">J63*(1+input!B14)+I63*((1+input!B14)-1)/input!B14</f>
        <v>2149309.66462113</v>
      </c>
      <c r="L63" s="30" t="n">
        <f aca="false">L62+MAX(0,H63/12)</f>
        <v>55124</v>
      </c>
      <c r="M63" s="30" t="n">
        <f aca="false">calc_metrics!B4</f>
        <v>2499900</v>
      </c>
      <c r="N63" s="31" t="str">
        <f aca="false">IF(K63&gt;=M63,"TRUE","FALSE")</f>
        <v>FALSE</v>
      </c>
      <c r="O63" s="32" t="n">
        <f aca="false">IFERROR(K63/M63,0)</f>
        <v>0.8597582561787</v>
      </c>
      <c r="P63" s="31" t="str">
        <f aca="false">IF(AND(L63&gt;=0,Q63&gt;=6,K63&gt;=M63*0.25),"TRUE","FALSE")</f>
        <v>TRUE</v>
      </c>
      <c r="Q63" s="33" t="n">
        <f aca="false">IFERROR(L63/(input!B7),0)</f>
        <v>18.3746666666667</v>
      </c>
      <c r="R63" s="28" t="s">
        <v>38</v>
      </c>
    </row>
    <row r="64" customFormat="false" ht="18" hidden="false" customHeight="true" outlineLevel="0" collapsed="false">
      <c r="A64" s="28" t="s">
        <v>79</v>
      </c>
      <c r="B64" s="28" t="s">
        <v>37</v>
      </c>
      <c r="C64" s="29" t="n">
        <v>22</v>
      </c>
      <c r="D64" s="29" t="n">
        <v>22</v>
      </c>
      <c r="E64" s="29" t="n">
        <f aca="false">input!B5+22</f>
        <v>60</v>
      </c>
      <c r="F64" s="30" t="n">
        <f aca="false">input!B6*12</f>
        <v>57600</v>
      </c>
      <c r="G64" s="30" t="n">
        <f aca="false">input!B7*12</f>
        <v>36000</v>
      </c>
      <c r="H64" s="30" t="n">
        <f aca="false">F64-G64</f>
        <v>21600</v>
      </c>
      <c r="I64" s="30" t="n">
        <f aca="false">input!B11*12+MAX(0, MIN(input!B18, H64/12)) * 12</f>
        <v>33096</v>
      </c>
      <c r="J64" s="30" t="n">
        <f aca="false">K63</f>
        <v>2149309.66462113</v>
      </c>
      <c r="K64" s="30" t="n">
        <f aca="false">J64*(1+input!B14)+I64*((1+input!B14)-1)/input!B14</f>
        <v>2332857.34114461</v>
      </c>
      <c r="L64" s="30" t="n">
        <f aca="false">L63+MAX(0,H64/12)</f>
        <v>56924</v>
      </c>
      <c r="M64" s="30" t="n">
        <f aca="false">calc_metrics!B4</f>
        <v>2499900</v>
      </c>
      <c r="N64" s="31" t="str">
        <f aca="false">IF(K64&gt;=M64,"TRUE","FALSE")</f>
        <v>FALSE</v>
      </c>
      <c r="O64" s="32" t="n">
        <f aca="false">IFERROR(K64/M64,0)</f>
        <v>0.933180263668392</v>
      </c>
      <c r="P64" s="31" t="str">
        <f aca="false">IF(AND(L64&gt;=0,Q64&gt;=6,K64&gt;=M64*0.25),"TRUE","FALSE")</f>
        <v>TRUE</v>
      </c>
      <c r="Q64" s="33" t="n">
        <f aca="false">IFERROR(L64/(input!B7),0)</f>
        <v>18.9746666666667</v>
      </c>
      <c r="R64" s="28" t="s">
        <v>38</v>
      </c>
    </row>
    <row r="65" customFormat="false" ht="18" hidden="false" customHeight="true" outlineLevel="0" collapsed="false">
      <c r="A65" s="28" t="s">
        <v>79</v>
      </c>
      <c r="B65" s="28" t="s">
        <v>37</v>
      </c>
      <c r="C65" s="29" t="n">
        <v>23</v>
      </c>
      <c r="D65" s="29" t="n">
        <v>23</v>
      </c>
      <c r="E65" s="29" t="n">
        <f aca="false">input!B5+23</f>
        <v>61</v>
      </c>
      <c r="F65" s="30" t="n">
        <f aca="false">input!B6*12</f>
        <v>57600</v>
      </c>
      <c r="G65" s="30" t="n">
        <f aca="false">input!B7*12</f>
        <v>36000</v>
      </c>
      <c r="H65" s="30" t="n">
        <f aca="false">F65-G65</f>
        <v>21600</v>
      </c>
      <c r="I65" s="30" t="n">
        <f aca="false">input!B11*12+MAX(0, MIN(input!B18, H65/12)) * 12</f>
        <v>33096</v>
      </c>
      <c r="J65" s="30" t="n">
        <f aca="false">K64</f>
        <v>2332857.34114461</v>
      </c>
      <c r="K65" s="30" t="n">
        <f aca="false">J65*(1+input!B14)+I65*((1+input!B14)-1)/input!B14</f>
        <v>2529253.35502474</v>
      </c>
      <c r="L65" s="30" t="n">
        <f aca="false">L64+MAX(0,H65/12)</f>
        <v>58724</v>
      </c>
      <c r="M65" s="30" t="n">
        <f aca="false">calc_metrics!B4</f>
        <v>2499900</v>
      </c>
      <c r="N65" s="31" t="str">
        <f aca="false">IF(K65&gt;=M65,"TRUE","FALSE")</f>
        <v>TRUE</v>
      </c>
      <c r="O65" s="32" t="n">
        <f aca="false">IFERROR(K65/M65,0)</f>
        <v>1.01174181168236</v>
      </c>
      <c r="P65" s="31" t="str">
        <f aca="false">IF(AND(L65&gt;=0,Q65&gt;=6,K65&gt;=M65*0.25),"TRUE","FALSE")</f>
        <v>TRUE</v>
      </c>
      <c r="Q65" s="33" t="n">
        <f aca="false">IFERROR(L65/(input!B7),0)</f>
        <v>19.5746666666667</v>
      </c>
      <c r="R65" s="28" t="s">
        <v>38</v>
      </c>
    </row>
    <row r="66" customFormat="false" ht="18" hidden="false" customHeight="true" outlineLevel="0" collapsed="false">
      <c r="A66" s="28" t="s">
        <v>79</v>
      </c>
      <c r="B66" s="28" t="s">
        <v>37</v>
      </c>
      <c r="C66" s="29" t="n">
        <v>24</v>
      </c>
      <c r="D66" s="29" t="n">
        <v>24</v>
      </c>
      <c r="E66" s="29" t="n">
        <f aca="false">input!B5+24</f>
        <v>62</v>
      </c>
      <c r="F66" s="30" t="n">
        <f aca="false">input!B6*12</f>
        <v>57600</v>
      </c>
      <c r="G66" s="30" t="n">
        <f aca="false">input!B7*12</f>
        <v>36000</v>
      </c>
      <c r="H66" s="30" t="n">
        <f aca="false">F66-G66</f>
        <v>21600</v>
      </c>
      <c r="I66" s="30" t="n">
        <f aca="false">input!B11*12+MAX(0, MIN(input!B18, H66/12)) * 12</f>
        <v>33096</v>
      </c>
      <c r="J66" s="30" t="n">
        <f aca="false">K65</f>
        <v>2529253.35502474</v>
      </c>
      <c r="K66" s="30" t="n">
        <f aca="false">J66*(1+input!B14)+I66*((1+input!B14)-1)/input!B14</f>
        <v>2739397.08987647</v>
      </c>
      <c r="L66" s="30" t="n">
        <f aca="false">L65+MAX(0,H66/12)</f>
        <v>60524</v>
      </c>
      <c r="M66" s="30" t="n">
        <f aca="false">calc_metrics!B4</f>
        <v>2499900</v>
      </c>
      <c r="N66" s="31" t="str">
        <f aca="false">IF(K66&gt;=M66,"TRUE","FALSE")</f>
        <v>TRUE</v>
      </c>
      <c r="O66" s="32" t="n">
        <f aca="false">IFERROR(K66/M66,0)</f>
        <v>1.09580266805731</v>
      </c>
      <c r="P66" s="31" t="str">
        <f aca="false">IF(AND(L66&gt;=0,Q66&gt;=6,K66&gt;=M66*0.25),"TRUE","FALSE")</f>
        <v>TRUE</v>
      </c>
      <c r="Q66" s="33" t="n">
        <f aca="false">IFERROR(L66/(input!B7),0)</f>
        <v>20.1746666666667</v>
      </c>
      <c r="R66" s="28" t="s">
        <v>38</v>
      </c>
    </row>
    <row r="67" customFormat="false" ht="18" hidden="false" customHeight="true" outlineLevel="0" collapsed="false">
      <c r="A67" s="28" t="s">
        <v>79</v>
      </c>
      <c r="B67" s="28" t="s">
        <v>37</v>
      </c>
      <c r="C67" s="29" t="n">
        <v>25</v>
      </c>
      <c r="D67" s="29" t="n">
        <v>25</v>
      </c>
      <c r="E67" s="29" t="n">
        <f aca="false">input!B5+25</f>
        <v>63</v>
      </c>
      <c r="F67" s="30" t="n">
        <f aca="false">input!B6*12</f>
        <v>57600</v>
      </c>
      <c r="G67" s="30" t="n">
        <f aca="false">input!B7*12</f>
        <v>36000</v>
      </c>
      <c r="H67" s="30" t="n">
        <f aca="false">F67-G67</f>
        <v>21600</v>
      </c>
      <c r="I67" s="30" t="n">
        <f aca="false">input!B11*12+MAX(0, MIN(input!B18, H67/12)) * 12</f>
        <v>33096</v>
      </c>
      <c r="J67" s="30" t="n">
        <f aca="false">K66</f>
        <v>2739397.08987647</v>
      </c>
      <c r="K67" s="30" t="n">
        <f aca="false">J67*(1+input!B14)+I67*((1+input!B14)-1)/input!B14</f>
        <v>2964250.88616782</v>
      </c>
      <c r="L67" s="30" t="n">
        <f aca="false">L66+MAX(0,H67/12)</f>
        <v>62324</v>
      </c>
      <c r="M67" s="30" t="n">
        <f aca="false">calc_metrics!B4</f>
        <v>2499900</v>
      </c>
      <c r="N67" s="31" t="str">
        <f aca="false">IF(K67&gt;=M67,"TRUE","FALSE")</f>
        <v>TRUE</v>
      </c>
      <c r="O67" s="32" t="n">
        <f aca="false">IFERROR(K67/M67,0)</f>
        <v>1.1857477843785</v>
      </c>
      <c r="P67" s="31" t="str">
        <f aca="false">IF(AND(L67&gt;=0,Q67&gt;=6,K67&gt;=M67*0.25),"TRUE","FALSE")</f>
        <v>TRUE</v>
      </c>
      <c r="Q67" s="33" t="n">
        <f aca="false">IFERROR(L67/(input!B7),0)</f>
        <v>20.7746666666667</v>
      </c>
      <c r="R67" s="28" t="s">
        <v>38</v>
      </c>
    </row>
    <row r="68" customFormat="false" ht="18" hidden="false" customHeight="true" outlineLevel="0" collapsed="false">
      <c r="A68" s="28" t="s">
        <v>79</v>
      </c>
      <c r="B68" s="28" t="s">
        <v>37</v>
      </c>
      <c r="C68" s="29" t="n">
        <v>26</v>
      </c>
      <c r="D68" s="29" t="n">
        <v>26</v>
      </c>
      <c r="E68" s="29" t="n">
        <f aca="false">input!B5+26</f>
        <v>64</v>
      </c>
      <c r="F68" s="30" t="n">
        <f aca="false">input!B6*12</f>
        <v>57600</v>
      </c>
      <c r="G68" s="30" t="n">
        <f aca="false">input!B7*12</f>
        <v>36000</v>
      </c>
      <c r="H68" s="30" t="n">
        <f aca="false">F68-G68</f>
        <v>21600</v>
      </c>
      <c r="I68" s="30" t="n">
        <f aca="false">input!B11*12+MAX(0, MIN(input!B18, H68/12)) * 12</f>
        <v>33096</v>
      </c>
      <c r="J68" s="30" t="n">
        <f aca="false">K67</f>
        <v>2964250.88616782</v>
      </c>
      <c r="K68" s="30" t="n">
        <f aca="false">J68*(1+input!B14)+I68*((1+input!B14)-1)/input!B14</f>
        <v>3204844.44819957</v>
      </c>
      <c r="L68" s="30" t="n">
        <f aca="false">L67+MAX(0,H68/12)</f>
        <v>64124</v>
      </c>
      <c r="M68" s="30" t="n">
        <f aca="false">calc_metrics!B4</f>
        <v>2499900</v>
      </c>
      <c r="N68" s="31" t="str">
        <f aca="false">IF(K68&gt;=M68,"TRUE","FALSE")</f>
        <v>TRUE</v>
      </c>
      <c r="O68" s="32" t="n">
        <f aca="false">IFERROR(K68/M68,0)</f>
        <v>1.28198905884218</v>
      </c>
      <c r="P68" s="31" t="str">
        <f aca="false">IF(AND(L68&gt;=0,Q68&gt;=6,K68&gt;=M68*0.25),"TRUE","FALSE")</f>
        <v>TRUE</v>
      </c>
      <c r="Q68" s="33" t="n">
        <f aca="false">IFERROR(L68/(input!B7),0)</f>
        <v>21.3746666666667</v>
      </c>
      <c r="R68" s="28" t="s">
        <v>38</v>
      </c>
    </row>
    <row r="69" customFormat="false" ht="18" hidden="false" customHeight="true" outlineLevel="0" collapsed="false">
      <c r="A69" s="28" t="s">
        <v>79</v>
      </c>
      <c r="B69" s="28" t="s">
        <v>37</v>
      </c>
      <c r="C69" s="29" t="n">
        <v>27</v>
      </c>
      <c r="D69" s="29" t="n">
        <v>27</v>
      </c>
      <c r="E69" s="29" t="n">
        <f aca="false">input!B5+27</f>
        <v>65</v>
      </c>
      <c r="F69" s="30" t="n">
        <f aca="false">input!B6*12</f>
        <v>57600</v>
      </c>
      <c r="G69" s="30" t="n">
        <f aca="false">input!B7*12</f>
        <v>36000</v>
      </c>
      <c r="H69" s="30" t="n">
        <f aca="false">F69-G69</f>
        <v>21600</v>
      </c>
      <c r="I69" s="30" t="n">
        <f aca="false">input!B11*12+MAX(0, MIN(input!B18, H69/12)) * 12</f>
        <v>33096</v>
      </c>
      <c r="J69" s="30" t="n">
        <f aca="false">K68</f>
        <v>3204844.44819957</v>
      </c>
      <c r="K69" s="30" t="n">
        <f aca="false">J69*(1+input!B14)+I69*((1+input!B14)-1)/input!B14</f>
        <v>3462279.55957354</v>
      </c>
      <c r="L69" s="30" t="n">
        <f aca="false">L68+MAX(0,H69/12)</f>
        <v>65924</v>
      </c>
      <c r="M69" s="30" t="n">
        <f aca="false">calc_metrics!B4</f>
        <v>2499900</v>
      </c>
      <c r="N69" s="31" t="str">
        <f aca="false">IF(K69&gt;=M69,"TRUE","FALSE")</f>
        <v>TRUE</v>
      </c>
      <c r="O69" s="32" t="n">
        <f aca="false">IFERROR(K69/M69,0)</f>
        <v>1.38496722251832</v>
      </c>
      <c r="P69" s="31" t="str">
        <f aca="false">IF(AND(L69&gt;=0,Q69&gt;=6,K69&gt;=M69*0.25),"TRUE","FALSE")</f>
        <v>TRUE</v>
      </c>
      <c r="Q69" s="33" t="n">
        <f aca="false">IFERROR(L69/(input!B7),0)</f>
        <v>21.9746666666667</v>
      </c>
      <c r="R69" s="28" t="s">
        <v>38</v>
      </c>
    </row>
    <row r="70" customFormat="false" ht="18" hidden="false" customHeight="true" outlineLevel="0" collapsed="false">
      <c r="A70" s="28" t="s">
        <v>79</v>
      </c>
      <c r="B70" s="28" t="s">
        <v>37</v>
      </c>
      <c r="C70" s="29" t="n">
        <v>28</v>
      </c>
      <c r="D70" s="29" t="n">
        <v>28</v>
      </c>
      <c r="E70" s="29" t="n">
        <f aca="false">input!B5+28</f>
        <v>66</v>
      </c>
      <c r="F70" s="30" t="n">
        <f aca="false">input!B6*12</f>
        <v>57600</v>
      </c>
      <c r="G70" s="30" t="n">
        <f aca="false">input!B7*12</f>
        <v>36000</v>
      </c>
      <c r="H70" s="30" t="n">
        <f aca="false">F70-G70</f>
        <v>21600</v>
      </c>
      <c r="I70" s="30" t="n">
        <f aca="false">input!B11*12+MAX(0, MIN(input!B18, H70/12)) * 12</f>
        <v>33096</v>
      </c>
      <c r="J70" s="30" t="n">
        <f aca="false">K69</f>
        <v>3462279.55957354</v>
      </c>
      <c r="K70" s="30" t="n">
        <f aca="false">J70*(1+input!B14)+I70*((1+input!B14)-1)/input!B14</f>
        <v>3737735.12874368</v>
      </c>
      <c r="L70" s="30" t="n">
        <f aca="false">L69+MAX(0,H70/12)</f>
        <v>67724</v>
      </c>
      <c r="M70" s="30" t="n">
        <f aca="false">calc_metrics!B4</f>
        <v>2499900</v>
      </c>
      <c r="N70" s="31" t="str">
        <f aca="false">IF(K70&gt;=M70,"TRUE","FALSE")</f>
        <v>TRUE</v>
      </c>
      <c r="O70" s="32" t="n">
        <f aca="false">IFERROR(K70/M70,0)</f>
        <v>1.49515385765178</v>
      </c>
      <c r="P70" s="31" t="str">
        <f aca="false">IF(AND(L70&gt;=0,Q70&gt;=6,K70&gt;=M70*0.25),"TRUE","FALSE")</f>
        <v>TRUE</v>
      </c>
      <c r="Q70" s="33" t="n">
        <f aca="false">IFERROR(L70/(input!B7),0)</f>
        <v>22.5746666666667</v>
      </c>
      <c r="R70" s="28" t="s">
        <v>38</v>
      </c>
    </row>
    <row r="71" customFormat="false" ht="18" hidden="false" customHeight="true" outlineLevel="0" collapsed="false">
      <c r="A71" s="28" t="s">
        <v>79</v>
      </c>
      <c r="B71" s="28" t="s">
        <v>37</v>
      </c>
      <c r="C71" s="29" t="n">
        <v>29</v>
      </c>
      <c r="D71" s="29" t="n">
        <v>29</v>
      </c>
      <c r="E71" s="29" t="n">
        <f aca="false">input!B5+29</f>
        <v>67</v>
      </c>
      <c r="F71" s="30" t="n">
        <f aca="false">input!B6*12</f>
        <v>57600</v>
      </c>
      <c r="G71" s="30" t="n">
        <f aca="false">input!B7*12</f>
        <v>36000</v>
      </c>
      <c r="H71" s="30" t="n">
        <f aca="false">F71-G71</f>
        <v>21600</v>
      </c>
      <c r="I71" s="30" t="n">
        <f aca="false">input!B11*12+MAX(0, MIN(input!B18, H71/12)) * 12</f>
        <v>33096</v>
      </c>
      <c r="J71" s="30" t="n">
        <f aca="false">K70</f>
        <v>3737735.12874368</v>
      </c>
      <c r="K71" s="30" t="n">
        <f aca="false">J71*(1+input!B14)+I71*((1+input!B14)-1)/input!B14</f>
        <v>4032472.58775574</v>
      </c>
      <c r="L71" s="30" t="n">
        <f aca="false">L70+MAX(0,H71/12)</f>
        <v>69524</v>
      </c>
      <c r="M71" s="30" t="n">
        <f aca="false">calc_metrics!B4</f>
        <v>2499900</v>
      </c>
      <c r="N71" s="31" t="str">
        <f aca="false">IF(K71&gt;=M71,"TRUE","FALSE")</f>
        <v>TRUE</v>
      </c>
      <c r="O71" s="32" t="n">
        <f aca="false">IFERROR(K71/M71,0)</f>
        <v>1.61305355724459</v>
      </c>
      <c r="P71" s="31" t="str">
        <f aca="false">IF(AND(L71&gt;=0,Q71&gt;=6,K71&gt;=M71*0.25),"TRUE","FALSE")</f>
        <v>TRUE</v>
      </c>
      <c r="Q71" s="33" t="n">
        <f aca="false">IFERROR(L71/(input!B7),0)</f>
        <v>23.1746666666667</v>
      </c>
      <c r="R71" s="28" t="s">
        <v>38</v>
      </c>
    </row>
    <row r="72" customFormat="false" ht="18" hidden="false" customHeight="true" outlineLevel="0" collapsed="false">
      <c r="A72" s="28" t="s">
        <v>79</v>
      </c>
      <c r="B72" s="28" t="s">
        <v>37</v>
      </c>
      <c r="C72" s="29" t="n">
        <v>30</v>
      </c>
      <c r="D72" s="29" t="n">
        <v>30</v>
      </c>
      <c r="E72" s="29" t="n">
        <f aca="false">input!B5+30</f>
        <v>68</v>
      </c>
      <c r="F72" s="30" t="n">
        <f aca="false">input!B6*12</f>
        <v>57600</v>
      </c>
      <c r="G72" s="30" t="n">
        <f aca="false">input!B7*12</f>
        <v>36000</v>
      </c>
      <c r="H72" s="30" t="n">
        <f aca="false">F72-G72</f>
        <v>21600</v>
      </c>
      <c r="I72" s="30" t="n">
        <f aca="false">input!B11*12+MAX(0, MIN(input!B18, H72/12)) * 12</f>
        <v>33096</v>
      </c>
      <c r="J72" s="30" t="n">
        <f aca="false">K71</f>
        <v>4032472.58775574</v>
      </c>
      <c r="K72" s="30" t="n">
        <f aca="false">J72*(1+input!B14)+I72*((1+input!B14)-1)/input!B14</f>
        <v>4347841.66889864</v>
      </c>
      <c r="L72" s="30" t="n">
        <f aca="false">L71+MAX(0,H72/12)</f>
        <v>71324</v>
      </c>
      <c r="M72" s="30" t="n">
        <f aca="false">calc_metrics!B4</f>
        <v>2499900</v>
      </c>
      <c r="N72" s="31" t="str">
        <f aca="false">IF(K72&gt;=M72,"TRUE","FALSE")</f>
        <v>TRUE</v>
      </c>
      <c r="O72" s="32" t="n">
        <f aca="false">IFERROR(K72/M72,0)</f>
        <v>1.73920623580889</v>
      </c>
      <c r="P72" s="31" t="str">
        <f aca="false">IF(AND(L72&gt;=0,Q72&gt;=6,K72&gt;=M72*0.25),"TRUE","FALSE")</f>
        <v>TRUE</v>
      </c>
      <c r="Q72" s="33" t="n">
        <f aca="false">IFERROR(L72/(input!B7),0)</f>
        <v>23.7746666666667</v>
      </c>
      <c r="R72" s="28" t="s">
        <v>38</v>
      </c>
    </row>
    <row r="73" customFormat="false" ht="18" hidden="false" customHeight="true" outlineLevel="0" collapsed="false">
      <c r="A73" s="28" t="s">
        <v>79</v>
      </c>
      <c r="B73" s="28" t="s">
        <v>37</v>
      </c>
      <c r="C73" s="29" t="n">
        <v>31</v>
      </c>
      <c r="D73" s="29" t="n">
        <v>31</v>
      </c>
      <c r="E73" s="29" t="n">
        <f aca="false">input!B5+31</f>
        <v>69</v>
      </c>
      <c r="F73" s="30" t="n">
        <f aca="false">input!B6*12</f>
        <v>57600</v>
      </c>
      <c r="G73" s="30" t="n">
        <f aca="false">input!B7*12</f>
        <v>36000</v>
      </c>
      <c r="H73" s="30" t="n">
        <f aca="false">F73-G73</f>
        <v>21600</v>
      </c>
      <c r="I73" s="30" t="n">
        <f aca="false">input!B11*12+MAX(0, MIN(input!B18, H73/12)) * 12</f>
        <v>33096</v>
      </c>
      <c r="J73" s="30" t="n">
        <f aca="false">K72</f>
        <v>4347841.66889864</v>
      </c>
      <c r="K73" s="30" t="n">
        <f aca="false">J73*(1+input!B14)+I73*((1+input!B14)-1)/input!B14</f>
        <v>4685286.58572155</v>
      </c>
      <c r="L73" s="30" t="n">
        <f aca="false">L72+MAX(0,H73/12)</f>
        <v>73124</v>
      </c>
      <c r="M73" s="30" t="n">
        <f aca="false">calc_metrics!B4</f>
        <v>2499900</v>
      </c>
      <c r="N73" s="31" t="str">
        <f aca="false">IF(K73&gt;=M73,"TRUE","FALSE")</f>
        <v>TRUE</v>
      </c>
      <c r="O73" s="32" t="n">
        <f aca="false">IFERROR(K73/M73,0)</f>
        <v>1.87418960187269</v>
      </c>
      <c r="P73" s="31" t="str">
        <f aca="false">IF(AND(L73&gt;=0,Q73&gt;=6,K73&gt;=M73*0.25),"TRUE","FALSE")</f>
        <v>TRUE</v>
      </c>
      <c r="Q73" s="33" t="n">
        <f aca="false">IFERROR(L73/(input!B7),0)</f>
        <v>24.3746666666667</v>
      </c>
      <c r="R73" s="28" t="s">
        <v>38</v>
      </c>
    </row>
    <row r="74" customFormat="false" ht="18" hidden="false" customHeight="true" outlineLevel="0" collapsed="false">
      <c r="A74" s="28" t="s">
        <v>79</v>
      </c>
      <c r="B74" s="28" t="s">
        <v>37</v>
      </c>
      <c r="C74" s="29" t="n">
        <v>32</v>
      </c>
      <c r="D74" s="29" t="n">
        <v>32</v>
      </c>
      <c r="E74" s="29" t="n">
        <f aca="false">input!B5+32</f>
        <v>70</v>
      </c>
      <c r="F74" s="30" t="n">
        <f aca="false">input!B6*12</f>
        <v>57600</v>
      </c>
      <c r="G74" s="30" t="n">
        <f aca="false">input!B7*12</f>
        <v>36000</v>
      </c>
      <c r="H74" s="30" t="n">
        <f aca="false">F74-G74</f>
        <v>21600</v>
      </c>
      <c r="I74" s="30" t="n">
        <f aca="false">input!B11*12+MAX(0, MIN(input!B18, H74/12)) * 12</f>
        <v>33096</v>
      </c>
      <c r="J74" s="30" t="n">
        <f aca="false">K73</f>
        <v>4685286.58572155</v>
      </c>
      <c r="K74" s="30" t="n">
        <f aca="false">J74*(1+input!B14)+I74*((1+input!B14)-1)/input!B14</f>
        <v>5046352.64672206</v>
      </c>
      <c r="L74" s="30" t="n">
        <f aca="false">L73+MAX(0,H74/12)</f>
        <v>74924</v>
      </c>
      <c r="M74" s="30" t="n">
        <f aca="false">calc_metrics!B4</f>
        <v>2499900</v>
      </c>
      <c r="N74" s="31" t="str">
        <f aca="false">IF(K74&gt;=M74,"TRUE","FALSE")</f>
        <v>TRUE</v>
      </c>
      <c r="O74" s="32" t="n">
        <f aca="false">IFERROR(K74/M74,0)</f>
        <v>2.01862180356097</v>
      </c>
      <c r="P74" s="31" t="str">
        <f aca="false">IF(AND(L74&gt;=0,Q74&gt;=6,K74&gt;=M74*0.25),"TRUE","FALSE")</f>
        <v>TRUE</v>
      </c>
      <c r="Q74" s="33" t="n">
        <f aca="false">IFERROR(L74/(input!B7),0)</f>
        <v>24.9746666666667</v>
      </c>
      <c r="R74" s="28" t="s">
        <v>38</v>
      </c>
    </row>
    <row r="75" customFormat="false" ht="18" hidden="false" customHeight="true" outlineLevel="0" collapsed="false">
      <c r="A75" s="28" t="s">
        <v>79</v>
      </c>
      <c r="B75" s="28" t="s">
        <v>37</v>
      </c>
      <c r="C75" s="29" t="n">
        <v>33</v>
      </c>
      <c r="D75" s="29" t="n">
        <v>33</v>
      </c>
      <c r="E75" s="29" t="n">
        <f aca="false">input!B5+33</f>
        <v>71</v>
      </c>
      <c r="F75" s="30" t="n">
        <f aca="false">input!B6*12</f>
        <v>57600</v>
      </c>
      <c r="G75" s="30" t="n">
        <f aca="false">input!B7*12</f>
        <v>36000</v>
      </c>
      <c r="H75" s="30" t="n">
        <f aca="false">F75-G75</f>
        <v>21600</v>
      </c>
      <c r="I75" s="30" t="n">
        <f aca="false">input!B11*12+MAX(0, MIN(input!B18, H75/12)) * 12</f>
        <v>33096</v>
      </c>
      <c r="J75" s="30" t="n">
        <f aca="false">K74</f>
        <v>5046352.64672206</v>
      </c>
      <c r="K75" s="30" t="n">
        <f aca="false">J75*(1+input!B14)+I75*((1+input!B14)-1)/input!B14</f>
        <v>5432693.3319926</v>
      </c>
      <c r="L75" s="30" t="n">
        <f aca="false">L74+MAX(0,H75/12)</f>
        <v>76724</v>
      </c>
      <c r="M75" s="30" t="n">
        <f aca="false">calc_metrics!B4</f>
        <v>2499900</v>
      </c>
      <c r="N75" s="31" t="str">
        <f aca="false">IF(K75&gt;=M75,"TRUE","FALSE")</f>
        <v>TRUE</v>
      </c>
      <c r="O75" s="32" t="n">
        <f aca="false">IFERROR(K75/M75,0)</f>
        <v>2.17316425936742</v>
      </c>
      <c r="P75" s="31" t="str">
        <f aca="false">IF(AND(L75&gt;=0,Q75&gt;=6,K75&gt;=M75*0.25),"TRUE","FALSE")</f>
        <v>TRUE</v>
      </c>
      <c r="Q75" s="33" t="n">
        <f aca="false">IFERROR(L75/(input!B7),0)</f>
        <v>25.5746666666667</v>
      </c>
      <c r="R75" s="28" t="s">
        <v>38</v>
      </c>
    </row>
    <row r="76" customFormat="false" ht="18" hidden="false" customHeight="true" outlineLevel="0" collapsed="false">
      <c r="A76" s="28" t="s">
        <v>79</v>
      </c>
      <c r="B76" s="28" t="s">
        <v>37</v>
      </c>
      <c r="C76" s="29" t="n">
        <v>34</v>
      </c>
      <c r="D76" s="29" t="n">
        <v>34</v>
      </c>
      <c r="E76" s="29" t="n">
        <f aca="false">input!B5+34</f>
        <v>72</v>
      </c>
      <c r="F76" s="30" t="n">
        <f aca="false">input!B6*12</f>
        <v>57600</v>
      </c>
      <c r="G76" s="30" t="n">
        <f aca="false">input!B7*12</f>
        <v>36000</v>
      </c>
      <c r="H76" s="30" t="n">
        <f aca="false">F76-G76</f>
        <v>21600</v>
      </c>
      <c r="I76" s="30" t="n">
        <f aca="false">input!B11*12+MAX(0, MIN(input!B18, H76/12)) * 12</f>
        <v>33096</v>
      </c>
      <c r="J76" s="30" t="n">
        <f aca="false">K75</f>
        <v>5432693.3319926</v>
      </c>
      <c r="K76" s="30" t="n">
        <f aca="false">J76*(1+input!B14)+I76*((1+input!B14)-1)/input!B14</f>
        <v>5846077.86523209</v>
      </c>
      <c r="L76" s="30" t="n">
        <f aca="false">L75+MAX(0,H76/12)</f>
        <v>78524</v>
      </c>
      <c r="M76" s="30" t="n">
        <f aca="false">calc_metrics!B4</f>
        <v>2499900</v>
      </c>
      <c r="N76" s="31" t="str">
        <f aca="false">IF(K76&gt;=M76,"TRUE","FALSE")</f>
        <v>TRUE</v>
      </c>
      <c r="O76" s="32" t="n">
        <f aca="false">IFERROR(K76/M76,0)</f>
        <v>2.33852468708032</v>
      </c>
      <c r="P76" s="31" t="str">
        <f aca="false">IF(AND(L76&gt;=0,Q76&gt;=6,K76&gt;=M76*0.25),"TRUE","FALSE")</f>
        <v>TRUE</v>
      </c>
      <c r="Q76" s="33" t="n">
        <f aca="false">IFERROR(L76/(input!B7),0)</f>
        <v>26.1746666666667</v>
      </c>
      <c r="R76" s="28" t="s">
        <v>38</v>
      </c>
    </row>
    <row r="77" customFormat="false" ht="18" hidden="false" customHeight="true" outlineLevel="0" collapsed="false">
      <c r="A77" s="28" t="s">
        <v>79</v>
      </c>
      <c r="B77" s="28" t="s">
        <v>37</v>
      </c>
      <c r="C77" s="29" t="n">
        <v>35</v>
      </c>
      <c r="D77" s="29" t="n">
        <v>35</v>
      </c>
      <c r="E77" s="29" t="n">
        <f aca="false">input!B5+35</f>
        <v>73</v>
      </c>
      <c r="F77" s="30" t="n">
        <f aca="false">input!B6*12</f>
        <v>57600</v>
      </c>
      <c r="G77" s="30" t="n">
        <f aca="false">input!B7*12</f>
        <v>36000</v>
      </c>
      <c r="H77" s="30" t="n">
        <f aca="false">F77-G77</f>
        <v>21600</v>
      </c>
      <c r="I77" s="30" t="n">
        <f aca="false">input!B11*12+MAX(0, MIN(input!B18, H77/12)) * 12</f>
        <v>33096</v>
      </c>
      <c r="J77" s="30" t="n">
        <f aca="false">K76</f>
        <v>5846077.86523209</v>
      </c>
      <c r="K77" s="30" t="n">
        <f aca="false">J77*(1+input!B14)+I77*((1+input!B14)-1)/input!B14</f>
        <v>6288399.31579833</v>
      </c>
      <c r="L77" s="30" t="n">
        <f aca="false">L76+MAX(0,H77/12)</f>
        <v>80324</v>
      </c>
      <c r="M77" s="30" t="n">
        <f aca="false">calc_metrics!B4</f>
        <v>2499900</v>
      </c>
      <c r="N77" s="31" t="str">
        <f aca="false">IF(K77&gt;=M77,"TRUE","FALSE")</f>
        <v>TRUE</v>
      </c>
      <c r="O77" s="32" t="n">
        <f aca="false">IFERROR(K77/M77,0)</f>
        <v>2.51546034473312</v>
      </c>
      <c r="P77" s="31" t="str">
        <f aca="false">IF(AND(L77&gt;=0,Q77&gt;=6,K77&gt;=M77*0.25),"TRUE","FALSE")</f>
        <v>TRUE</v>
      </c>
      <c r="Q77" s="33" t="n">
        <f aca="false">IFERROR(L77/(input!B7),0)</f>
        <v>26.7746666666667</v>
      </c>
      <c r="R77" s="28" t="s">
        <v>38</v>
      </c>
    </row>
    <row r="78" customFormat="false" ht="18" hidden="false" customHeight="true" outlineLevel="0" collapsed="false">
      <c r="A78" s="28" t="s">
        <v>79</v>
      </c>
      <c r="B78" s="28" t="s">
        <v>37</v>
      </c>
      <c r="C78" s="29" t="n">
        <v>36</v>
      </c>
      <c r="D78" s="29" t="n">
        <v>36</v>
      </c>
      <c r="E78" s="29" t="n">
        <f aca="false">input!B5+36</f>
        <v>74</v>
      </c>
      <c r="F78" s="30" t="n">
        <f aca="false">input!B6*12</f>
        <v>57600</v>
      </c>
      <c r="G78" s="30" t="n">
        <f aca="false">input!B7*12</f>
        <v>36000</v>
      </c>
      <c r="H78" s="30" t="n">
        <f aca="false">F78-G78</f>
        <v>21600</v>
      </c>
      <c r="I78" s="30" t="n">
        <f aca="false">input!B11*12+MAX(0, MIN(input!B18, H78/12)) * 12</f>
        <v>33096</v>
      </c>
      <c r="J78" s="30" t="n">
        <f aca="false">K77</f>
        <v>6288399.31579833</v>
      </c>
      <c r="K78" s="30" t="n">
        <f aca="false">J78*(1+input!B14)+I78*((1+input!B14)-1)/input!B14</f>
        <v>6761683.26790422</v>
      </c>
      <c r="L78" s="30" t="n">
        <f aca="false">L77+MAX(0,H78/12)</f>
        <v>82124</v>
      </c>
      <c r="M78" s="30" t="n">
        <f aca="false">calc_metrics!B4</f>
        <v>2499900</v>
      </c>
      <c r="N78" s="31" t="str">
        <f aca="false">IF(K78&gt;=M78,"TRUE","FALSE")</f>
        <v>TRUE</v>
      </c>
      <c r="O78" s="32" t="n">
        <f aca="false">IFERROR(K78/M78,0)</f>
        <v>2.70478149842162</v>
      </c>
      <c r="P78" s="31" t="str">
        <f aca="false">IF(AND(L78&gt;=0,Q78&gt;=6,K78&gt;=M78*0.25),"TRUE","FALSE")</f>
        <v>TRUE</v>
      </c>
      <c r="Q78" s="33" t="n">
        <f aca="false">IFERROR(L78/(input!B7),0)</f>
        <v>27.3746666666667</v>
      </c>
      <c r="R78" s="28" t="s">
        <v>38</v>
      </c>
    </row>
    <row r="79" customFormat="false" ht="18" hidden="false" customHeight="true" outlineLevel="0" collapsed="false">
      <c r="A79" s="28" t="s">
        <v>79</v>
      </c>
      <c r="B79" s="28" t="s">
        <v>37</v>
      </c>
      <c r="C79" s="29" t="n">
        <v>37</v>
      </c>
      <c r="D79" s="29" t="n">
        <v>37</v>
      </c>
      <c r="E79" s="29" t="n">
        <f aca="false">input!B5+37</f>
        <v>75</v>
      </c>
      <c r="F79" s="30" t="n">
        <f aca="false">input!B6*12</f>
        <v>57600</v>
      </c>
      <c r="G79" s="30" t="n">
        <f aca="false">input!B7*12</f>
        <v>36000</v>
      </c>
      <c r="H79" s="30" t="n">
        <f aca="false">F79-G79</f>
        <v>21600</v>
      </c>
      <c r="I79" s="30" t="n">
        <f aca="false">input!B11*12+MAX(0, MIN(input!B18, H79/12)) * 12</f>
        <v>33096</v>
      </c>
      <c r="J79" s="30" t="n">
        <f aca="false">K78</f>
        <v>6761683.26790422</v>
      </c>
      <c r="K79" s="30" t="n">
        <f aca="false">J79*(1+input!B14)+I79*((1+input!B14)-1)/input!B14</f>
        <v>7268097.09665751</v>
      </c>
      <c r="L79" s="30" t="n">
        <f aca="false">L78+MAX(0,H79/12)</f>
        <v>83924</v>
      </c>
      <c r="M79" s="30" t="n">
        <f aca="false">calc_metrics!B4</f>
        <v>2499900</v>
      </c>
      <c r="N79" s="31" t="str">
        <f aca="false">IF(K79&gt;=M79,"TRUE","FALSE")</f>
        <v>TRUE</v>
      </c>
      <c r="O79" s="32" t="n">
        <f aca="false">IFERROR(K79/M79,0)</f>
        <v>2.90735513286832</v>
      </c>
      <c r="P79" s="31" t="str">
        <f aca="false">IF(AND(L79&gt;=0,Q79&gt;=6,K79&gt;=M79*0.25),"TRUE","FALSE")</f>
        <v>TRUE</v>
      </c>
      <c r="Q79" s="33" t="n">
        <f aca="false">IFERROR(L79/(input!B7),0)</f>
        <v>27.9746666666667</v>
      </c>
      <c r="R79" s="28" t="s">
        <v>38</v>
      </c>
    </row>
    <row r="80" customFormat="false" ht="18" hidden="false" customHeight="true" outlineLevel="0" collapsed="false">
      <c r="A80" s="28" t="s">
        <v>79</v>
      </c>
      <c r="B80" s="28" t="s">
        <v>37</v>
      </c>
      <c r="C80" s="29" t="n">
        <v>38</v>
      </c>
      <c r="D80" s="29" t="n">
        <v>38</v>
      </c>
      <c r="E80" s="29" t="n">
        <f aca="false">input!B5+38</f>
        <v>76</v>
      </c>
      <c r="F80" s="30" t="n">
        <f aca="false">input!B6*12</f>
        <v>57600</v>
      </c>
      <c r="G80" s="30" t="n">
        <f aca="false">input!B7*12</f>
        <v>36000</v>
      </c>
      <c r="H80" s="30" t="n">
        <f aca="false">F80-G80</f>
        <v>21600</v>
      </c>
      <c r="I80" s="30" t="n">
        <f aca="false">input!B11*12+MAX(0, MIN(input!B18, H80/12)) * 12</f>
        <v>33096</v>
      </c>
      <c r="J80" s="30" t="n">
        <f aca="false">K79</f>
        <v>7268097.09665751</v>
      </c>
      <c r="K80" s="30" t="n">
        <f aca="false">J80*(1+input!B14)+I80*((1+input!B14)-1)/input!B14</f>
        <v>7809959.89342354</v>
      </c>
      <c r="L80" s="30" t="n">
        <f aca="false">L79+MAX(0,H80/12)</f>
        <v>85724</v>
      </c>
      <c r="M80" s="30" t="n">
        <f aca="false">calc_metrics!B4</f>
        <v>2499900</v>
      </c>
      <c r="N80" s="31" t="str">
        <f aca="false">IF(K80&gt;=M80,"TRUE","FALSE")</f>
        <v>TRUE</v>
      </c>
      <c r="O80" s="32" t="n">
        <f aca="false">IFERROR(K80/M80,0)</f>
        <v>3.12410892172628</v>
      </c>
      <c r="P80" s="31" t="str">
        <f aca="false">IF(AND(L80&gt;=0,Q80&gt;=6,K80&gt;=M80*0.25),"TRUE","FALSE")</f>
        <v>TRUE</v>
      </c>
      <c r="Q80" s="33" t="n">
        <f aca="false">IFERROR(L80/(input!B7),0)</f>
        <v>28.5746666666667</v>
      </c>
      <c r="R80" s="28" t="s">
        <v>38</v>
      </c>
    </row>
    <row r="81" customFormat="false" ht="18" hidden="false" customHeight="true" outlineLevel="0" collapsed="false">
      <c r="A81" s="28" t="s">
        <v>79</v>
      </c>
      <c r="B81" s="28" t="s">
        <v>37</v>
      </c>
      <c r="C81" s="29" t="n">
        <v>39</v>
      </c>
      <c r="D81" s="29" t="n">
        <v>39</v>
      </c>
      <c r="E81" s="29" t="n">
        <f aca="false">input!B5+39</f>
        <v>77</v>
      </c>
      <c r="F81" s="30" t="n">
        <f aca="false">input!B6*12</f>
        <v>57600</v>
      </c>
      <c r="G81" s="30" t="n">
        <f aca="false">input!B7*12</f>
        <v>36000</v>
      </c>
      <c r="H81" s="30" t="n">
        <f aca="false">F81-G81</f>
        <v>21600</v>
      </c>
      <c r="I81" s="30" t="n">
        <f aca="false">input!B11*12+MAX(0, MIN(input!B18, H81/12)) * 12</f>
        <v>33096</v>
      </c>
      <c r="J81" s="30" t="n">
        <f aca="false">K80</f>
        <v>7809959.89342354</v>
      </c>
      <c r="K81" s="30" t="n">
        <f aca="false">J81*(1+input!B14)+I81*((1+input!B14)-1)/input!B14</f>
        <v>8389753.08596319</v>
      </c>
      <c r="L81" s="30" t="n">
        <f aca="false">L80+MAX(0,H81/12)</f>
        <v>87524</v>
      </c>
      <c r="M81" s="30" t="n">
        <f aca="false">calc_metrics!B4</f>
        <v>2499900</v>
      </c>
      <c r="N81" s="31" t="str">
        <f aca="false">IF(K81&gt;=M81,"TRUE","FALSE")</f>
        <v>TRUE</v>
      </c>
      <c r="O81" s="32" t="n">
        <f aca="false">IFERROR(K81/M81,0)</f>
        <v>3.35603547580431</v>
      </c>
      <c r="P81" s="31" t="str">
        <f aca="false">IF(AND(L81&gt;=0,Q81&gt;=6,K81&gt;=M81*0.25),"TRUE","FALSE")</f>
        <v>TRUE</v>
      </c>
      <c r="Q81" s="33" t="n">
        <f aca="false">IFERROR(L81/(input!B7),0)</f>
        <v>29.1746666666667</v>
      </c>
      <c r="R81" s="28" t="s">
        <v>38</v>
      </c>
    </row>
    <row r="82" customFormat="false" ht="18" hidden="false" customHeight="true" outlineLevel="0" collapsed="false">
      <c r="A82" s="22" t="s">
        <v>80</v>
      </c>
      <c r="B82" s="22" t="s">
        <v>39</v>
      </c>
      <c r="C82" s="23" t="n">
        <v>0</v>
      </c>
      <c r="D82" s="23" t="n">
        <v>0</v>
      </c>
      <c r="E82" s="23" t="n">
        <f aca="false">input!B5+0</f>
        <v>38</v>
      </c>
      <c r="F82" s="24" t="n">
        <f aca="false">input!B6*12</f>
        <v>57600</v>
      </c>
      <c r="G82" s="24" t="n">
        <f aca="false">input!B7*12</f>
        <v>36000</v>
      </c>
      <c r="H82" s="24" t="n">
        <f aca="false">F82-G82</f>
        <v>21600</v>
      </c>
      <c r="I82" s="24" t="n">
        <f aca="false">input!B11*12+MAX(0, MIN(input!B18, H82/12)) * 12</f>
        <v>33096</v>
      </c>
      <c r="J82" s="24" t="n">
        <f aca="false">calc_is!B13</f>
        <v>147952</v>
      </c>
      <c r="K82" s="24" t="n">
        <f aca="false">J82*(1+input!B14)+I82*((1+input!B14)-1)/input!B14</f>
        <v>191404.64</v>
      </c>
      <c r="L82" s="24" t="n">
        <f aca="false">input!B8</f>
        <v>19124</v>
      </c>
      <c r="M82" s="24" t="n">
        <f aca="false">calc_metrics!B4</f>
        <v>2499900</v>
      </c>
      <c r="N82" s="25" t="str">
        <f aca="false">IF(K82&gt;=M82,"TRUE","FALSE")</f>
        <v>FALSE</v>
      </c>
      <c r="O82" s="26" t="n">
        <f aca="false">IFERROR(K82/M82,0)</f>
        <v>0.0765649185967439</v>
      </c>
      <c r="P82" s="25" t="str">
        <f aca="false">IF(AND(L82&gt;=0,Q82&gt;=6,K82&gt;=M82*0.25),"TRUE","FALSE")</f>
        <v>FALSE</v>
      </c>
      <c r="Q82" s="27" t="n">
        <f aca="false">IFERROR(L82/(input!B7),0)</f>
        <v>6.37466666666667</v>
      </c>
      <c r="R82" s="22" t="s">
        <v>40</v>
      </c>
    </row>
    <row r="83" customFormat="false" ht="18" hidden="false" customHeight="true" outlineLevel="0" collapsed="false">
      <c r="A83" s="22" t="s">
        <v>80</v>
      </c>
      <c r="B83" s="22" t="s">
        <v>39</v>
      </c>
      <c r="C83" s="23" t="n">
        <v>1</v>
      </c>
      <c r="D83" s="23" t="n">
        <v>1</v>
      </c>
      <c r="E83" s="23" t="n">
        <f aca="false">input!B5+1</f>
        <v>39</v>
      </c>
      <c r="F83" s="24" t="n">
        <f aca="false">input!B6*12</f>
        <v>57600</v>
      </c>
      <c r="G83" s="24" t="n">
        <f aca="false">input!B7*12</f>
        <v>36000</v>
      </c>
      <c r="H83" s="24" t="n">
        <f aca="false">F83-G83</f>
        <v>21600</v>
      </c>
      <c r="I83" s="24" t="n">
        <f aca="false">input!B11*12+MAX(0, MIN(input!B18, H83/12)) * 12</f>
        <v>33096</v>
      </c>
      <c r="J83" s="24" t="n">
        <f aca="false">K82</f>
        <v>191404.64</v>
      </c>
      <c r="K83" s="24" t="n">
        <f aca="false">J83*(1+input!B14)+I83*((1+input!B14)-1)/input!B14</f>
        <v>237898.9648</v>
      </c>
      <c r="L83" s="24" t="n">
        <f aca="false">L82+MAX(0,H83/12)</f>
        <v>20924</v>
      </c>
      <c r="M83" s="24" t="n">
        <f aca="false">calc_metrics!B4</f>
        <v>2499900</v>
      </c>
      <c r="N83" s="25" t="str">
        <f aca="false">IF(K83&gt;=M83,"TRUE","FALSE")</f>
        <v>FALSE</v>
      </c>
      <c r="O83" s="26" t="n">
        <f aca="false">IFERROR(K83/M83,0)</f>
        <v>0.0951633924556983</v>
      </c>
      <c r="P83" s="25" t="str">
        <f aca="false">IF(AND(L83&gt;=0,Q83&gt;=6,K83&gt;=M83*0.25),"TRUE","FALSE")</f>
        <v>FALSE</v>
      </c>
      <c r="Q83" s="27" t="n">
        <f aca="false">IFERROR(L83/(input!B7),0)</f>
        <v>6.97466666666667</v>
      </c>
      <c r="R83" s="22" t="s">
        <v>40</v>
      </c>
    </row>
    <row r="84" customFormat="false" ht="18" hidden="false" customHeight="true" outlineLevel="0" collapsed="false">
      <c r="A84" s="22" t="s">
        <v>80</v>
      </c>
      <c r="B84" s="22" t="s">
        <v>39</v>
      </c>
      <c r="C84" s="23" t="n">
        <v>2</v>
      </c>
      <c r="D84" s="23" t="n">
        <v>2</v>
      </c>
      <c r="E84" s="23" t="n">
        <f aca="false">input!B5+2</f>
        <v>40</v>
      </c>
      <c r="F84" s="24" t="n">
        <f aca="false">input!B6*12*(1+input!G30)</f>
        <v>28800</v>
      </c>
      <c r="G84" s="24" t="n">
        <f aca="false">( input!B7 + input!I30 ) * 12</f>
        <v>39600</v>
      </c>
      <c r="H84" s="24" t="n">
        <f aca="false">F84-G84</f>
        <v>-10800</v>
      </c>
      <c r="I84" s="24" t="n">
        <f aca="false">0+MAX(0, MIN(input!B18+input!J30, H84/12)) * 12</f>
        <v>0</v>
      </c>
      <c r="J84" s="24" t="n">
        <f aca="false">K83</f>
        <v>237898.9648</v>
      </c>
      <c r="K84" s="24" t="n">
        <f aca="false">J84*(1+input!B14)+I84*((1+input!B14)-1)/input!B14</f>
        <v>254551.892336</v>
      </c>
      <c r="L84" s="24" t="n">
        <f aca="false">L83+MAX(0,H84/12)-input!H30</f>
        <v>-19076</v>
      </c>
      <c r="M84" s="24" t="n">
        <f aca="false">calc_metrics!B4</f>
        <v>2499900</v>
      </c>
      <c r="N84" s="25" t="str">
        <f aca="false">IF(K84&gt;=M84,"TRUE","FALSE")</f>
        <v>FALSE</v>
      </c>
      <c r="O84" s="26" t="n">
        <f aca="false">IFERROR(K84/M84,0)</f>
        <v>0.101824829927597</v>
      </c>
      <c r="P84" s="25" t="str">
        <f aca="false">IF(AND(L84&gt;=0,Q84&gt;=6,K84&gt;=M84*0.25),"TRUE","FALSE")</f>
        <v>FALSE</v>
      </c>
      <c r="Q84" s="27" t="n">
        <f aca="false">IFERROR(L84/(input!B7),0)</f>
        <v>-6.35866666666667</v>
      </c>
      <c r="R84" s="22" t="s">
        <v>40</v>
      </c>
    </row>
    <row r="85" customFormat="false" ht="18" hidden="false" customHeight="true" outlineLevel="0" collapsed="false">
      <c r="A85" s="22" t="s">
        <v>80</v>
      </c>
      <c r="B85" s="22" t="s">
        <v>39</v>
      </c>
      <c r="C85" s="23" t="n">
        <v>3</v>
      </c>
      <c r="D85" s="23" t="n">
        <v>3</v>
      </c>
      <c r="E85" s="23" t="n">
        <f aca="false">input!B5+3</f>
        <v>41</v>
      </c>
      <c r="F85" s="24" t="n">
        <f aca="false">input!B6*12*(1+input!G30)</f>
        <v>28800</v>
      </c>
      <c r="G85" s="24" t="n">
        <f aca="false">( input!B7 + input!I30 ) * 12</f>
        <v>39600</v>
      </c>
      <c r="H85" s="24" t="n">
        <f aca="false">F85-G85</f>
        <v>-10800</v>
      </c>
      <c r="I85" s="24" t="n">
        <f aca="false">0+MAX(0, MIN(input!B18+input!J30, H85/12)) * 12</f>
        <v>0</v>
      </c>
      <c r="J85" s="24" t="n">
        <f aca="false">K84</f>
        <v>254551.892336</v>
      </c>
      <c r="K85" s="24" t="n">
        <f aca="false">J85*(1+input!B14)+I85*((1+input!B14)-1)/input!B14</f>
        <v>272370.52479952</v>
      </c>
      <c r="L85" s="24" t="n">
        <f aca="false">L84+MAX(0,H85/12)</f>
        <v>-19076</v>
      </c>
      <c r="M85" s="24" t="n">
        <f aca="false">calc_metrics!B4</f>
        <v>2499900</v>
      </c>
      <c r="N85" s="25" t="str">
        <f aca="false">IF(K85&gt;=M85,"TRUE","FALSE")</f>
        <v>FALSE</v>
      </c>
      <c r="O85" s="26" t="n">
        <f aca="false">IFERROR(K85/M85,0)</f>
        <v>0.108952568022529</v>
      </c>
      <c r="P85" s="25" t="str">
        <f aca="false">IF(AND(L85&gt;=0,Q85&gt;=6,K85&gt;=M85*0.25),"TRUE","FALSE")</f>
        <v>FALSE</v>
      </c>
      <c r="Q85" s="27" t="n">
        <f aca="false">IFERROR(L85/(input!B7),0)</f>
        <v>-6.35866666666667</v>
      </c>
      <c r="R85" s="22" t="s">
        <v>40</v>
      </c>
    </row>
    <row r="86" customFormat="false" ht="18" hidden="false" customHeight="true" outlineLevel="0" collapsed="false">
      <c r="A86" s="22" t="s">
        <v>80</v>
      </c>
      <c r="B86" s="22" t="s">
        <v>39</v>
      </c>
      <c r="C86" s="23" t="n">
        <v>4</v>
      </c>
      <c r="D86" s="23" t="n">
        <v>4</v>
      </c>
      <c r="E86" s="23" t="n">
        <f aca="false">input!B5+4</f>
        <v>42</v>
      </c>
      <c r="F86" s="24" t="n">
        <f aca="false">input!B6*12</f>
        <v>57600</v>
      </c>
      <c r="G86" s="24" t="n">
        <f aca="false">input!B7*12</f>
        <v>36000</v>
      </c>
      <c r="H86" s="24" t="n">
        <f aca="false">F86-G86</f>
        <v>21600</v>
      </c>
      <c r="I86" s="24" t="n">
        <f aca="false">input!B11*12+MAX(0, MIN(input!B18, H86/12)) * 12</f>
        <v>33096</v>
      </c>
      <c r="J86" s="24" t="n">
        <f aca="false">K85</f>
        <v>272370.52479952</v>
      </c>
      <c r="K86" s="24" t="n">
        <f aca="false">J86*(1+input!B14)+I86*((1+input!B14)-1)/input!B14</f>
        <v>324532.461535487</v>
      </c>
      <c r="L86" s="24" t="n">
        <f aca="false">L85+MAX(0,H86/12)</f>
        <v>-17276</v>
      </c>
      <c r="M86" s="24" t="n">
        <f aca="false">calc_metrics!B4</f>
        <v>2499900</v>
      </c>
      <c r="N86" s="25" t="str">
        <f aca="false">IF(K86&gt;=M86,"TRUE","FALSE")</f>
        <v>FALSE</v>
      </c>
      <c r="O86" s="26" t="n">
        <f aca="false">IFERROR(K86/M86,0)</f>
        <v>0.129818177341288</v>
      </c>
      <c r="P86" s="25" t="str">
        <f aca="false">IF(AND(L86&gt;=0,Q86&gt;=6,K86&gt;=M86*0.25),"TRUE","FALSE")</f>
        <v>FALSE</v>
      </c>
      <c r="Q86" s="27" t="n">
        <f aca="false">IFERROR(L86/(input!B7),0)</f>
        <v>-5.75866666666667</v>
      </c>
      <c r="R86" s="22" t="s">
        <v>40</v>
      </c>
    </row>
    <row r="87" customFormat="false" ht="18" hidden="false" customHeight="true" outlineLevel="0" collapsed="false">
      <c r="A87" s="22" t="s">
        <v>80</v>
      </c>
      <c r="B87" s="22" t="s">
        <v>39</v>
      </c>
      <c r="C87" s="23" t="n">
        <v>5</v>
      </c>
      <c r="D87" s="23" t="n">
        <v>5</v>
      </c>
      <c r="E87" s="23" t="n">
        <f aca="false">input!B5+5</f>
        <v>43</v>
      </c>
      <c r="F87" s="24" t="n">
        <f aca="false">input!B6*12</f>
        <v>57600</v>
      </c>
      <c r="G87" s="24" t="n">
        <f aca="false">input!B7*12</f>
        <v>36000</v>
      </c>
      <c r="H87" s="24" t="n">
        <f aca="false">F87-G87</f>
        <v>21600</v>
      </c>
      <c r="I87" s="24" t="n">
        <f aca="false">input!B11*12+MAX(0, MIN(input!B18, H87/12)) * 12</f>
        <v>33096</v>
      </c>
      <c r="J87" s="24" t="n">
        <f aca="false">K86</f>
        <v>324532.461535487</v>
      </c>
      <c r="K87" s="24" t="n">
        <f aca="false">J87*(1+input!B14)+I87*((1+input!B14)-1)/input!B14</f>
        <v>380345.733842971</v>
      </c>
      <c r="L87" s="24" t="n">
        <f aca="false">L86+MAX(0,H87/12)</f>
        <v>-15476</v>
      </c>
      <c r="M87" s="24" t="n">
        <f aca="false">calc_metrics!B4</f>
        <v>2499900</v>
      </c>
      <c r="N87" s="25" t="str">
        <f aca="false">IF(K87&gt;=M87,"TRUE","FALSE")</f>
        <v>FALSE</v>
      </c>
      <c r="O87" s="26" t="n">
        <f aca="false">IFERROR(K87/M87,0)</f>
        <v>0.152144379312361</v>
      </c>
      <c r="P87" s="25" t="str">
        <f aca="false">IF(AND(L87&gt;=0,Q87&gt;=6,K87&gt;=M87*0.25),"TRUE","FALSE")</f>
        <v>FALSE</v>
      </c>
      <c r="Q87" s="27" t="n">
        <f aca="false">IFERROR(L87/(input!B7),0)</f>
        <v>-5.15866666666667</v>
      </c>
      <c r="R87" s="22" t="s">
        <v>40</v>
      </c>
    </row>
    <row r="88" customFormat="false" ht="18" hidden="false" customHeight="true" outlineLevel="0" collapsed="false">
      <c r="A88" s="22" t="s">
        <v>80</v>
      </c>
      <c r="B88" s="22" t="s">
        <v>39</v>
      </c>
      <c r="C88" s="23" t="n">
        <v>6</v>
      </c>
      <c r="D88" s="23" t="n">
        <v>6</v>
      </c>
      <c r="E88" s="23" t="n">
        <f aca="false">input!B5+6</f>
        <v>44</v>
      </c>
      <c r="F88" s="24" t="n">
        <f aca="false">input!B6*12</f>
        <v>57600</v>
      </c>
      <c r="G88" s="24" t="n">
        <f aca="false">input!B7*12</f>
        <v>36000</v>
      </c>
      <c r="H88" s="24" t="n">
        <f aca="false">F88-G88</f>
        <v>21600</v>
      </c>
      <c r="I88" s="24" t="n">
        <f aca="false">input!B11*12+MAX(0, MIN(input!B18, H88/12)) * 12</f>
        <v>33096</v>
      </c>
      <c r="J88" s="24" t="n">
        <f aca="false">K87</f>
        <v>380345.733842971</v>
      </c>
      <c r="K88" s="24" t="n">
        <f aca="false">J88*(1+input!B14)+I88*((1+input!B14)-1)/input!B14</f>
        <v>440065.935211979</v>
      </c>
      <c r="L88" s="24" t="n">
        <f aca="false">L87+MAX(0,H88/12)</f>
        <v>-13676</v>
      </c>
      <c r="M88" s="24" t="n">
        <f aca="false">calc_metrics!B4</f>
        <v>2499900</v>
      </c>
      <c r="N88" s="25" t="str">
        <f aca="false">IF(K88&gt;=M88,"TRUE","FALSE")</f>
        <v>FALSE</v>
      </c>
      <c r="O88" s="26" t="n">
        <f aca="false">IFERROR(K88/M88,0)</f>
        <v>0.176033415421408</v>
      </c>
      <c r="P88" s="25" t="str">
        <f aca="false">IF(AND(L88&gt;=0,Q88&gt;=6,K88&gt;=M88*0.25),"TRUE","FALSE")</f>
        <v>FALSE</v>
      </c>
      <c r="Q88" s="27" t="n">
        <f aca="false">IFERROR(L88/(input!B7),0)</f>
        <v>-4.55866666666667</v>
      </c>
      <c r="R88" s="22" t="s">
        <v>40</v>
      </c>
    </row>
    <row r="89" customFormat="false" ht="18" hidden="false" customHeight="true" outlineLevel="0" collapsed="false">
      <c r="A89" s="22" t="s">
        <v>80</v>
      </c>
      <c r="B89" s="22" t="s">
        <v>39</v>
      </c>
      <c r="C89" s="23" t="n">
        <v>7</v>
      </c>
      <c r="D89" s="23" t="n">
        <v>7</v>
      </c>
      <c r="E89" s="23" t="n">
        <f aca="false">input!B5+7</f>
        <v>45</v>
      </c>
      <c r="F89" s="24" t="n">
        <f aca="false">input!B6*12</f>
        <v>57600</v>
      </c>
      <c r="G89" s="24" t="n">
        <f aca="false">input!B7*12</f>
        <v>36000</v>
      </c>
      <c r="H89" s="24" t="n">
        <f aca="false">F89-G89</f>
        <v>21600</v>
      </c>
      <c r="I89" s="24" t="n">
        <f aca="false">input!B11*12+MAX(0, MIN(input!B18, H89/12)) * 12</f>
        <v>33096</v>
      </c>
      <c r="J89" s="24" t="n">
        <f aca="false">K88</f>
        <v>440065.935211979</v>
      </c>
      <c r="K89" s="24" t="n">
        <f aca="false">J89*(1+input!B14)+I89*((1+input!B14)-1)/input!B14</f>
        <v>503966.550676817</v>
      </c>
      <c r="L89" s="24" t="n">
        <f aca="false">L88+MAX(0,H89/12)</f>
        <v>-11876</v>
      </c>
      <c r="M89" s="24" t="n">
        <f aca="false">calc_metrics!B4</f>
        <v>2499900</v>
      </c>
      <c r="N89" s="25" t="str">
        <f aca="false">IF(K89&gt;=M89,"TRUE","FALSE")</f>
        <v>FALSE</v>
      </c>
      <c r="O89" s="26" t="n">
        <f aca="false">IFERROR(K89/M89,0)</f>
        <v>0.201594684058089</v>
      </c>
      <c r="P89" s="25" t="str">
        <f aca="false">IF(AND(L89&gt;=0,Q89&gt;=6,K89&gt;=M89*0.25),"TRUE","FALSE")</f>
        <v>FALSE</v>
      </c>
      <c r="Q89" s="27" t="n">
        <f aca="false">IFERROR(L89/(input!B7),0)</f>
        <v>-3.95866666666667</v>
      </c>
      <c r="R89" s="22" t="s">
        <v>40</v>
      </c>
    </row>
    <row r="90" customFormat="false" ht="18" hidden="false" customHeight="true" outlineLevel="0" collapsed="false">
      <c r="A90" s="22" t="s">
        <v>80</v>
      </c>
      <c r="B90" s="22" t="s">
        <v>39</v>
      </c>
      <c r="C90" s="23" t="n">
        <v>8</v>
      </c>
      <c r="D90" s="23" t="n">
        <v>8</v>
      </c>
      <c r="E90" s="23" t="n">
        <f aca="false">input!B5+8</f>
        <v>46</v>
      </c>
      <c r="F90" s="24" t="n">
        <f aca="false">input!B6*12</f>
        <v>57600</v>
      </c>
      <c r="G90" s="24" t="n">
        <f aca="false">input!B7*12</f>
        <v>36000</v>
      </c>
      <c r="H90" s="24" t="n">
        <f aca="false">F90-G90</f>
        <v>21600</v>
      </c>
      <c r="I90" s="24" t="n">
        <f aca="false">input!B11*12+MAX(0, MIN(input!B18, H90/12)) * 12</f>
        <v>33096</v>
      </c>
      <c r="J90" s="24" t="n">
        <f aca="false">K89</f>
        <v>503966.550676817</v>
      </c>
      <c r="K90" s="24" t="n">
        <f aca="false">J90*(1+input!B14)+I90*((1+input!B14)-1)/input!B14</f>
        <v>572340.209224195</v>
      </c>
      <c r="L90" s="24" t="n">
        <f aca="false">L89+MAX(0,H90/12)</f>
        <v>-10076</v>
      </c>
      <c r="M90" s="24" t="n">
        <f aca="false">calc_metrics!B4</f>
        <v>2499900</v>
      </c>
      <c r="N90" s="25" t="str">
        <f aca="false">IF(K90&gt;=M90,"TRUE","FALSE")</f>
        <v>FALSE</v>
      </c>
      <c r="O90" s="26" t="n">
        <f aca="false">IFERROR(K90/M90,0)</f>
        <v>0.228945241499338</v>
      </c>
      <c r="P90" s="25" t="str">
        <f aca="false">IF(AND(L90&gt;=0,Q90&gt;=6,K90&gt;=M90*0.25),"TRUE","FALSE")</f>
        <v>FALSE</v>
      </c>
      <c r="Q90" s="27" t="n">
        <f aca="false">IFERROR(L90/(input!B7),0)</f>
        <v>-3.35866666666667</v>
      </c>
      <c r="R90" s="22" t="s">
        <v>40</v>
      </c>
    </row>
    <row r="91" customFormat="false" ht="18" hidden="false" customHeight="true" outlineLevel="0" collapsed="false">
      <c r="A91" s="22" t="s">
        <v>80</v>
      </c>
      <c r="B91" s="22" t="s">
        <v>39</v>
      </c>
      <c r="C91" s="23" t="n">
        <v>9</v>
      </c>
      <c r="D91" s="23" t="n">
        <v>9</v>
      </c>
      <c r="E91" s="23" t="n">
        <f aca="false">input!B5+9</f>
        <v>47</v>
      </c>
      <c r="F91" s="24" t="n">
        <f aca="false">input!B6*12</f>
        <v>57600</v>
      </c>
      <c r="G91" s="24" t="n">
        <f aca="false">input!B7*12</f>
        <v>36000</v>
      </c>
      <c r="H91" s="24" t="n">
        <f aca="false">F91-G91</f>
        <v>21600</v>
      </c>
      <c r="I91" s="24" t="n">
        <f aca="false">input!B11*12+MAX(0, MIN(input!B18, H91/12)) * 12</f>
        <v>33096</v>
      </c>
      <c r="J91" s="24" t="n">
        <f aca="false">K90</f>
        <v>572340.209224195</v>
      </c>
      <c r="K91" s="24" t="n">
        <f aca="false">J91*(1+input!B14)+I91*((1+input!B14)-1)/input!B14</f>
        <v>645500.023869888</v>
      </c>
      <c r="L91" s="24" t="n">
        <f aca="false">L90+MAX(0,H91/12)</f>
        <v>-8276</v>
      </c>
      <c r="M91" s="24" t="n">
        <f aca="false">calc_metrics!B4</f>
        <v>2499900</v>
      </c>
      <c r="N91" s="25" t="str">
        <f aca="false">IF(K91&gt;=M91,"TRUE","FALSE")</f>
        <v>FALSE</v>
      </c>
      <c r="O91" s="26" t="n">
        <f aca="false">IFERROR(K91/M91,0)</f>
        <v>0.258210337961474</v>
      </c>
      <c r="P91" s="25" t="str">
        <f aca="false">IF(AND(L91&gt;=0,Q91&gt;=6,K91&gt;=M91*0.25),"TRUE","FALSE")</f>
        <v>FALSE</v>
      </c>
      <c r="Q91" s="27" t="n">
        <f aca="false">IFERROR(L91/(input!B7),0)</f>
        <v>-2.75866666666667</v>
      </c>
      <c r="R91" s="22" t="s">
        <v>40</v>
      </c>
    </row>
    <row r="92" customFormat="false" ht="18" hidden="false" customHeight="true" outlineLevel="0" collapsed="false">
      <c r="A92" s="22" t="s">
        <v>80</v>
      </c>
      <c r="B92" s="22" t="s">
        <v>39</v>
      </c>
      <c r="C92" s="23" t="n">
        <v>10</v>
      </c>
      <c r="D92" s="23" t="n">
        <v>10</v>
      </c>
      <c r="E92" s="23" t="n">
        <f aca="false">input!B5+10</f>
        <v>48</v>
      </c>
      <c r="F92" s="24" t="n">
        <f aca="false">input!B6*12</f>
        <v>57600</v>
      </c>
      <c r="G92" s="24" t="n">
        <f aca="false">input!B7*12</f>
        <v>36000</v>
      </c>
      <c r="H92" s="24" t="n">
        <f aca="false">F92-G92</f>
        <v>21600</v>
      </c>
      <c r="I92" s="24" t="n">
        <f aca="false">input!B11*12+MAX(0, MIN(input!B18, H92/12)) * 12</f>
        <v>33096</v>
      </c>
      <c r="J92" s="24" t="n">
        <f aca="false">K91</f>
        <v>645500.023869888</v>
      </c>
      <c r="K92" s="24" t="n">
        <f aca="false">J92*(1+input!B14)+I92*((1+input!B14)-1)/input!B14</f>
        <v>723781.02554078</v>
      </c>
      <c r="L92" s="24" t="n">
        <f aca="false">L91+MAX(0,H92/12)</f>
        <v>-6476</v>
      </c>
      <c r="M92" s="24" t="n">
        <f aca="false">calc_metrics!B4</f>
        <v>2499900</v>
      </c>
      <c r="N92" s="25" t="str">
        <f aca="false">IF(K92&gt;=M92,"TRUE","FALSE")</f>
        <v>FALSE</v>
      </c>
      <c r="O92" s="26" t="n">
        <f aca="false">IFERROR(K92/M92,0)</f>
        <v>0.289523991175959</v>
      </c>
      <c r="P92" s="25" t="str">
        <f aca="false">IF(AND(L92&gt;=0,Q92&gt;=6,K92&gt;=M92*0.25),"TRUE","FALSE")</f>
        <v>FALSE</v>
      </c>
      <c r="Q92" s="27" t="n">
        <f aca="false">IFERROR(L92/(input!B7),0)</f>
        <v>-2.15866666666667</v>
      </c>
      <c r="R92" s="22" t="s">
        <v>40</v>
      </c>
    </row>
    <row r="93" customFormat="false" ht="18" hidden="false" customHeight="true" outlineLevel="0" collapsed="false">
      <c r="A93" s="22" t="s">
        <v>80</v>
      </c>
      <c r="B93" s="22" t="s">
        <v>39</v>
      </c>
      <c r="C93" s="23" t="n">
        <v>11</v>
      </c>
      <c r="D93" s="23" t="n">
        <v>11</v>
      </c>
      <c r="E93" s="23" t="n">
        <f aca="false">input!B5+11</f>
        <v>49</v>
      </c>
      <c r="F93" s="24" t="n">
        <f aca="false">input!B6*12</f>
        <v>57600</v>
      </c>
      <c r="G93" s="24" t="n">
        <f aca="false">input!B7*12</f>
        <v>36000</v>
      </c>
      <c r="H93" s="24" t="n">
        <f aca="false">F93-G93</f>
        <v>21600</v>
      </c>
      <c r="I93" s="24" t="n">
        <f aca="false">input!B11*12+MAX(0, MIN(input!B18, H93/12)) * 12</f>
        <v>33096</v>
      </c>
      <c r="J93" s="24" t="n">
        <f aca="false">K92</f>
        <v>723781.02554078</v>
      </c>
      <c r="K93" s="24" t="n">
        <f aca="false">J93*(1+input!B14)+I93*((1+input!B14)-1)/input!B14</f>
        <v>807541.697328635</v>
      </c>
      <c r="L93" s="24" t="n">
        <f aca="false">L92+MAX(0,H93/12)</f>
        <v>-4676</v>
      </c>
      <c r="M93" s="24" t="n">
        <f aca="false">calc_metrics!B4</f>
        <v>2499900</v>
      </c>
      <c r="N93" s="25" t="str">
        <f aca="false">IF(K93&gt;=M93,"TRUE","FALSE")</f>
        <v>FALSE</v>
      </c>
      <c r="O93" s="26" t="n">
        <f aca="false">IFERROR(K93/M93,0)</f>
        <v>0.323029600115459</v>
      </c>
      <c r="P93" s="25" t="str">
        <f aca="false">IF(AND(L93&gt;=0,Q93&gt;=6,K93&gt;=M93*0.25),"TRUE","FALSE")</f>
        <v>FALSE</v>
      </c>
      <c r="Q93" s="27" t="n">
        <f aca="false">IFERROR(L93/(input!B7),0)</f>
        <v>-1.55866666666667</v>
      </c>
      <c r="R93" s="22" t="s">
        <v>40</v>
      </c>
    </row>
    <row r="94" customFormat="false" ht="18" hidden="false" customHeight="true" outlineLevel="0" collapsed="false">
      <c r="A94" s="22" t="s">
        <v>80</v>
      </c>
      <c r="B94" s="22" t="s">
        <v>39</v>
      </c>
      <c r="C94" s="23" t="n">
        <v>12</v>
      </c>
      <c r="D94" s="23" t="n">
        <v>12</v>
      </c>
      <c r="E94" s="23" t="n">
        <f aca="false">input!B5+12</f>
        <v>50</v>
      </c>
      <c r="F94" s="24" t="n">
        <f aca="false">input!B6*12</f>
        <v>57600</v>
      </c>
      <c r="G94" s="24" t="n">
        <f aca="false">input!B7*12</f>
        <v>36000</v>
      </c>
      <c r="H94" s="24" t="n">
        <f aca="false">F94-G94</f>
        <v>21600</v>
      </c>
      <c r="I94" s="24" t="n">
        <f aca="false">input!B11*12+MAX(0, MIN(input!B18, H94/12)) * 12</f>
        <v>33096</v>
      </c>
      <c r="J94" s="24" t="n">
        <f aca="false">K93</f>
        <v>807541.697328635</v>
      </c>
      <c r="K94" s="24" t="n">
        <f aca="false">J94*(1+input!B14)+I94*((1+input!B14)-1)/input!B14</f>
        <v>897165.61614164</v>
      </c>
      <c r="L94" s="24" t="n">
        <f aca="false">L93+MAX(0,H94/12)</f>
        <v>-2876</v>
      </c>
      <c r="M94" s="24" t="n">
        <f aca="false">calc_metrics!B4</f>
        <v>2499900</v>
      </c>
      <c r="N94" s="25" t="str">
        <f aca="false">IF(K94&gt;=M94,"TRUE","FALSE")</f>
        <v>FALSE</v>
      </c>
      <c r="O94" s="26" t="n">
        <f aca="false">IFERROR(K94/M94,0)</f>
        <v>0.358880601680723</v>
      </c>
      <c r="P94" s="25" t="str">
        <f aca="false">IF(AND(L94&gt;=0,Q94&gt;=6,K94&gt;=M94*0.25),"TRUE","FALSE")</f>
        <v>FALSE</v>
      </c>
      <c r="Q94" s="27" t="n">
        <f aca="false">IFERROR(L94/(input!B7),0)</f>
        <v>-0.958666666666667</v>
      </c>
      <c r="R94" s="22" t="s">
        <v>40</v>
      </c>
    </row>
    <row r="95" customFormat="false" ht="18" hidden="false" customHeight="true" outlineLevel="0" collapsed="false">
      <c r="A95" s="22" t="s">
        <v>80</v>
      </c>
      <c r="B95" s="22" t="s">
        <v>39</v>
      </c>
      <c r="C95" s="23" t="n">
        <v>13</v>
      </c>
      <c r="D95" s="23" t="n">
        <v>13</v>
      </c>
      <c r="E95" s="23" t="n">
        <f aca="false">input!B5+13</f>
        <v>51</v>
      </c>
      <c r="F95" s="24" t="n">
        <f aca="false">input!B6*12</f>
        <v>57600</v>
      </c>
      <c r="G95" s="24" t="n">
        <f aca="false">input!B7*12</f>
        <v>36000</v>
      </c>
      <c r="H95" s="24" t="n">
        <f aca="false">F95-G95</f>
        <v>21600</v>
      </c>
      <c r="I95" s="24" t="n">
        <f aca="false">input!B11*12+MAX(0, MIN(input!B18, H95/12)) * 12</f>
        <v>33096</v>
      </c>
      <c r="J95" s="24" t="n">
        <f aca="false">K94</f>
        <v>897165.61614164</v>
      </c>
      <c r="K95" s="24" t="n">
        <f aca="false">J95*(1+input!B14)+I95*((1+input!B14)-1)/input!B14</f>
        <v>993063.209271554</v>
      </c>
      <c r="L95" s="24" t="n">
        <f aca="false">L94+MAX(0,H95/12)</f>
        <v>-1076</v>
      </c>
      <c r="M95" s="24" t="n">
        <f aca="false">calc_metrics!B4</f>
        <v>2499900</v>
      </c>
      <c r="N95" s="25" t="str">
        <f aca="false">IF(K95&gt;=M95,"TRUE","FALSE")</f>
        <v>FALSE</v>
      </c>
      <c r="O95" s="26" t="n">
        <f aca="false">IFERROR(K95/M95,0)</f>
        <v>0.397241173355556</v>
      </c>
      <c r="P95" s="25" t="str">
        <f aca="false">IF(AND(L95&gt;=0,Q95&gt;=6,K95&gt;=M95*0.25),"TRUE","FALSE")</f>
        <v>FALSE</v>
      </c>
      <c r="Q95" s="27" t="n">
        <f aca="false">IFERROR(L95/(input!B7),0)</f>
        <v>-0.358666666666667</v>
      </c>
      <c r="R95" s="22" t="s">
        <v>40</v>
      </c>
    </row>
    <row r="96" customFormat="false" ht="18" hidden="false" customHeight="true" outlineLevel="0" collapsed="false">
      <c r="A96" s="22" t="s">
        <v>80</v>
      </c>
      <c r="B96" s="22" t="s">
        <v>39</v>
      </c>
      <c r="C96" s="23" t="n">
        <v>14</v>
      </c>
      <c r="D96" s="23" t="n">
        <v>14</v>
      </c>
      <c r="E96" s="23" t="n">
        <f aca="false">input!B5+14</f>
        <v>52</v>
      </c>
      <c r="F96" s="24" t="n">
        <f aca="false">input!B6*12</f>
        <v>57600</v>
      </c>
      <c r="G96" s="24" t="n">
        <f aca="false">input!B7*12</f>
        <v>36000</v>
      </c>
      <c r="H96" s="24" t="n">
        <f aca="false">F96-G96</f>
        <v>21600</v>
      </c>
      <c r="I96" s="24" t="n">
        <f aca="false">input!B11*12+MAX(0, MIN(input!B18, H96/12)) * 12</f>
        <v>33096</v>
      </c>
      <c r="J96" s="24" t="n">
        <f aca="false">K95</f>
        <v>993063.209271554</v>
      </c>
      <c r="K96" s="24" t="n">
        <f aca="false">J96*(1+input!B14)+I96*((1+input!B14)-1)/input!B14</f>
        <v>1095673.63392056</v>
      </c>
      <c r="L96" s="24" t="n">
        <f aca="false">L95+MAX(0,H96/12)</f>
        <v>724</v>
      </c>
      <c r="M96" s="24" t="n">
        <f aca="false">calc_metrics!B4</f>
        <v>2499900</v>
      </c>
      <c r="N96" s="25" t="str">
        <f aca="false">IF(K96&gt;=M96,"TRUE","FALSE")</f>
        <v>FALSE</v>
      </c>
      <c r="O96" s="26" t="n">
        <f aca="false">IFERROR(K96/M96,0)</f>
        <v>0.438286985047627</v>
      </c>
      <c r="P96" s="25" t="str">
        <f aca="false">IF(AND(L96&gt;=0,Q96&gt;=6,K96&gt;=M96*0.25),"TRUE","FALSE")</f>
        <v>FALSE</v>
      </c>
      <c r="Q96" s="27" t="n">
        <f aca="false">IFERROR(L96/(input!B7),0)</f>
        <v>0.241333333333333</v>
      </c>
      <c r="R96" s="22" t="s">
        <v>40</v>
      </c>
    </row>
    <row r="97" customFormat="false" ht="18" hidden="false" customHeight="true" outlineLevel="0" collapsed="false">
      <c r="A97" s="22" t="s">
        <v>80</v>
      </c>
      <c r="B97" s="22" t="s">
        <v>39</v>
      </c>
      <c r="C97" s="23" t="n">
        <v>15</v>
      </c>
      <c r="D97" s="23" t="n">
        <v>15</v>
      </c>
      <c r="E97" s="23" t="n">
        <f aca="false">input!B5+15</f>
        <v>53</v>
      </c>
      <c r="F97" s="24" t="n">
        <f aca="false">input!B6*12</f>
        <v>57600</v>
      </c>
      <c r="G97" s="24" t="n">
        <f aca="false">input!B7*12</f>
        <v>36000</v>
      </c>
      <c r="H97" s="24" t="n">
        <f aca="false">F97-G97</f>
        <v>21600</v>
      </c>
      <c r="I97" s="24" t="n">
        <f aca="false">input!B11*12+MAX(0, MIN(input!B18, H97/12)) * 12</f>
        <v>33096</v>
      </c>
      <c r="J97" s="24" t="n">
        <f aca="false">K96</f>
        <v>1095673.63392056</v>
      </c>
      <c r="K97" s="24" t="n">
        <f aca="false">J97*(1+input!B14)+I97*((1+input!B14)-1)/input!B14</f>
        <v>1205466.788295</v>
      </c>
      <c r="L97" s="24" t="n">
        <f aca="false">L96+MAX(0,H97/12)</f>
        <v>2524</v>
      </c>
      <c r="M97" s="24" t="n">
        <f aca="false">calc_metrics!B4</f>
        <v>2499900</v>
      </c>
      <c r="N97" s="25" t="str">
        <f aca="false">IF(K97&gt;=M97,"TRUE","FALSE")</f>
        <v>FALSE</v>
      </c>
      <c r="O97" s="26" t="n">
        <f aca="false">IFERROR(K97/M97,0)</f>
        <v>0.482206003558143</v>
      </c>
      <c r="P97" s="25" t="str">
        <f aca="false">IF(AND(L97&gt;=0,Q97&gt;=6,K97&gt;=M97*0.25),"TRUE","FALSE")</f>
        <v>FALSE</v>
      </c>
      <c r="Q97" s="27" t="n">
        <f aca="false">IFERROR(L97/(input!B7),0)</f>
        <v>0.841333333333333</v>
      </c>
      <c r="R97" s="22" t="s">
        <v>40</v>
      </c>
    </row>
    <row r="98" customFormat="false" ht="18" hidden="false" customHeight="true" outlineLevel="0" collapsed="false">
      <c r="A98" s="22" t="s">
        <v>80</v>
      </c>
      <c r="B98" s="22" t="s">
        <v>39</v>
      </c>
      <c r="C98" s="23" t="n">
        <v>16</v>
      </c>
      <c r="D98" s="23" t="n">
        <v>16</v>
      </c>
      <c r="E98" s="23" t="n">
        <f aca="false">input!B5+16</f>
        <v>54</v>
      </c>
      <c r="F98" s="24" t="n">
        <f aca="false">input!B6*12</f>
        <v>57600</v>
      </c>
      <c r="G98" s="24" t="n">
        <f aca="false">input!B7*12</f>
        <v>36000</v>
      </c>
      <c r="H98" s="24" t="n">
        <f aca="false">F98-G98</f>
        <v>21600</v>
      </c>
      <c r="I98" s="24" t="n">
        <f aca="false">input!B11*12+MAX(0, MIN(input!B18, H98/12)) * 12</f>
        <v>33096</v>
      </c>
      <c r="J98" s="24" t="n">
        <f aca="false">K97</f>
        <v>1205466.788295</v>
      </c>
      <c r="K98" s="24" t="n">
        <f aca="false">J98*(1+input!B14)+I98*((1+input!B14)-1)/input!B14</f>
        <v>1322945.46347565</v>
      </c>
      <c r="L98" s="24" t="n">
        <f aca="false">L97+MAX(0,H98/12)</f>
        <v>4324</v>
      </c>
      <c r="M98" s="24" t="n">
        <f aca="false">calc_metrics!B4</f>
        <v>2499900</v>
      </c>
      <c r="N98" s="25" t="str">
        <f aca="false">IF(K98&gt;=M98,"TRUE","FALSE")</f>
        <v>FALSE</v>
      </c>
      <c r="O98" s="26" t="n">
        <f aca="false">IFERROR(K98/M98,0)</f>
        <v>0.529199353364396</v>
      </c>
      <c r="P98" s="25" t="str">
        <f aca="false">IF(AND(L98&gt;=0,Q98&gt;=6,K98&gt;=M98*0.25),"TRUE","FALSE")</f>
        <v>FALSE</v>
      </c>
      <c r="Q98" s="27" t="n">
        <f aca="false">IFERROR(L98/(input!B7),0)</f>
        <v>1.44133333333333</v>
      </c>
      <c r="R98" s="22" t="s">
        <v>40</v>
      </c>
    </row>
    <row r="99" customFormat="false" ht="18" hidden="false" customHeight="true" outlineLevel="0" collapsed="false">
      <c r="A99" s="22" t="s">
        <v>80</v>
      </c>
      <c r="B99" s="22" t="s">
        <v>39</v>
      </c>
      <c r="C99" s="23" t="n">
        <v>17</v>
      </c>
      <c r="D99" s="23" t="n">
        <v>17</v>
      </c>
      <c r="E99" s="23" t="n">
        <f aca="false">input!B5+17</f>
        <v>55</v>
      </c>
      <c r="F99" s="24" t="n">
        <f aca="false">input!B6*12</f>
        <v>57600</v>
      </c>
      <c r="G99" s="24" t="n">
        <f aca="false">input!B7*12</f>
        <v>36000</v>
      </c>
      <c r="H99" s="24" t="n">
        <f aca="false">F99-G99</f>
        <v>21600</v>
      </c>
      <c r="I99" s="24" t="n">
        <f aca="false">input!B11*12+MAX(0, MIN(input!B18, H99/12)) * 12</f>
        <v>33096</v>
      </c>
      <c r="J99" s="24" t="n">
        <f aca="false">K98</f>
        <v>1322945.46347565</v>
      </c>
      <c r="K99" s="24" t="n">
        <f aca="false">J99*(1+input!B14)+I99*((1+input!B14)-1)/input!B14</f>
        <v>1448647.64591895</v>
      </c>
      <c r="L99" s="24" t="n">
        <f aca="false">L98+MAX(0,H99/12)</f>
        <v>6124</v>
      </c>
      <c r="M99" s="24" t="n">
        <f aca="false">calc_metrics!B4</f>
        <v>2499900</v>
      </c>
      <c r="N99" s="25" t="str">
        <f aca="false">IF(K99&gt;=M99,"TRUE","FALSE")</f>
        <v>FALSE</v>
      </c>
      <c r="O99" s="26" t="n">
        <f aca="false">IFERROR(K99/M99,0)</f>
        <v>0.579482237657086</v>
      </c>
      <c r="P99" s="25" t="str">
        <f aca="false">IF(AND(L99&gt;=0,Q99&gt;=6,K99&gt;=M99*0.25),"TRUE","FALSE")</f>
        <v>FALSE</v>
      </c>
      <c r="Q99" s="27" t="n">
        <f aca="false">IFERROR(L99/(input!B7),0)</f>
        <v>2.04133333333333</v>
      </c>
      <c r="R99" s="22" t="s">
        <v>40</v>
      </c>
    </row>
    <row r="100" customFormat="false" ht="18" hidden="false" customHeight="true" outlineLevel="0" collapsed="false">
      <c r="A100" s="22" t="s">
        <v>80</v>
      </c>
      <c r="B100" s="22" t="s">
        <v>39</v>
      </c>
      <c r="C100" s="23" t="n">
        <v>18</v>
      </c>
      <c r="D100" s="23" t="n">
        <v>18</v>
      </c>
      <c r="E100" s="23" t="n">
        <f aca="false">input!B5+18</f>
        <v>56</v>
      </c>
      <c r="F100" s="24" t="n">
        <f aca="false">input!B6*12</f>
        <v>57600</v>
      </c>
      <c r="G100" s="24" t="n">
        <f aca="false">input!B7*12</f>
        <v>36000</v>
      </c>
      <c r="H100" s="24" t="n">
        <f aca="false">F100-G100</f>
        <v>21600</v>
      </c>
      <c r="I100" s="24" t="n">
        <f aca="false">input!B11*12+MAX(0, MIN(input!B18, H100/12)) * 12</f>
        <v>33096</v>
      </c>
      <c r="J100" s="24" t="n">
        <f aca="false">K99</f>
        <v>1448647.64591895</v>
      </c>
      <c r="K100" s="24" t="n">
        <f aca="false">J100*(1+input!B14)+I100*((1+input!B14)-1)/input!B14</f>
        <v>1583148.98113328</v>
      </c>
      <c r="L100" s="24" t="n">
        <f aca="false">L99+MAX(0,H100/12)</f>
        <v>7924</v>
      </c>
      <c r="M100" s="24" t="n">
        <f aca="false">calc_metrics!B4</f>
        <v>2499900</v>
      </c>
      <c r="N100" s="25" t="str">
        <f aca="false">IF(K100&gt;=M100,"TRUE","FALSE")</f>
        <v>FALSE</v>
      </c>
      <c r="O100" s="26" t="n">
        <f aca="false">IFERROR(K100/M100,0)</f>
        <v>0.633284923850264</v>
      </c>
      <c r="P100" s="25" t="str">
        <f aca="false">IF(AND(L100&gt;=0,Q100&gt;=6,K100&gt;=M100*0.25),"TRUE","FALSE")</f>
        <v>FALSE</v>
      </c>
      <c r="Q100" s="27" t="n">
        <f aca="false">IFERROR(L100/(input!B7),0)</f>
        <v>2.64133333333333</v>
      </c>
      <c r="R100" s="22" t="s">
        <v>40</v>
      </c>
    </row>
    <row r="101" customFormat="false" ht="18" hidden="false" customHeight="true" outlineLevel="0" collapsed="false">
      <c r="A101" s="22" t="s">
        <v>80</v>
      </c>
      <c r="B101" s="22" t="s">
        <v>39</v>
      </c>
      <c r="C101" s="23" t="n">
        <v>19</v>
      </c>
      <c r="D101" s="23" t="n">
        <v>19</v>
      </c>
      <c r="E101" s="23" t="n">
        <f aca="false">input!B5+19</f>
        <v>57</v>
      </c>
      <c r="F101" s="24" t="n">
        <f aca="false">input!B6*12</f>
        <v>57600</v>
      </c>
      <c r="G101" s="24" t="n">
        <f aca="false">input!B7*12</f>
        <v>36000</v>
      </c>
      <c r="H101" s="24" t="n">
        <f aca="false">F101-G101</f>
        <v>21600</v>
      </c>
      <c r="I101" s="24" t="n">
        <f aca="false">input!B11*12+MAX(0, MIN(input!B18, H101/12)) * 12</f>
        <v>33096</v>
      </c>
      <c r="J101" s="24" t="n">
        <f aca="false">K100</f>
        <v>1583148.98113328</v>
      </c>
      <c r="K101" s="24" t="n">
        <f aca="false">J101*(1+input!B14)+I101*((1+input!B14)-1)/input!B14</f>
        <v>1727065.4098126</v>
      </c>
      <c r="L101" s="24" t="n">
        <f aca="false">L100+MAX(0,H101/12)</f>
        <v>9724</v>
      </c>
      <c r="M101" s="24" t="n">
        <f aca="false">calc_metrics!B4</f>
        <v>2499900</v>
      </c>
      <c r="N101" s="25" t="str">
        <f aca="false">IF(K101&gt;=M101,"TRUE","FALSE")</f>
        <v>FALSE</v>
      </c>
      <c r="O101" s="26" t="n">
        <f aca="false">IFERROR(K101/M101,0)</f>
        <v>0.690853798076965</v>
      </c>
      <c r="P101" s="25" t="str">
        <f aca="false">IF(AND(L101&gt;=0,Q101&gt;=6,K101&gt;=M101*0.25),"TRUE","FALSE")</f>
        <v>FALSE</v>
      </c>
      <c r="Q101" s="27" t="n">
        <f aca="false">IFERROR(L101/(input!B7),0)</f>
        <v>3.24133333333333</v>
      </c>
      <c r="R101" s="22" t="s">
        <v>40</v>
      </c>
    </row>
    <row r="102" customFormat="false" ht="18" hidden="false" customHeight="true" outlineLevel="0" collapsed="false">
      <c r="A102" s="22" t="s">
        <v>80</v>
      </c>
      <c r="B102" s="22" t="s">
        <v>39</v>
      </c>
      <c r="C102" s="23" t="n">
        <v>20</v>
      </c>
      <c r="D102" s="23" t="n">
        <v>20</v>
      </c>
      <c r="E102" s="23" t="n">
        <f aca="false">input!B5+20</f>
        <v>58</v>
      </c>
      <c r="F102" s="24" t="n">
        <f aca="false">input!B6*12</f>
        <v>57600</v>
      </c>
      <c r="G102" s="24" t="n">
        <f aca="false">input!B7*12</f>
        <v>36000</v>
      </c>
      <c r="H102" s="24" t="n">
        <f aca="false">F102-G102</f>
        <v>21600</v>
      </c>
      <c r="I102" s="24" t="n">
        <f aca="false">input!B11*12+MAX(0, MIN(input!B18, H102/12)) * 12</f>
        <v>33096</v>
      </c>
      <c r="J102" s="24" t="n">
        <f aca="false">K101</f>
        <v>1727065.4098126</v>
      </c>
      <c r="K102" s="24" t="n">
        <f aca="false">J102*(1+input!B14)+I102*((1+input!B14)-1)/input!B14</f>
        <v>1881055.98849949</v>
      </c>
      <c r="L102" s="24" t="n">
        <f aca="false">L101+MAX(0,H102/12)</f>
        <v>11524</v>
      </c>
      <c r="M102" s="24" t="n">
        <f aca="false">calc_metrics!B4</f>
        <v>2499900</v>
      </c>
      <c r="N102" s="25" t="str">
        <f aca="false">IF(K102&gt;=M102,"TRUE","FALSE")</f>
        <v>FALSE</v>
      </c>
      <c r="O102" s="26" t="n">
        <f aca="false">IFERROR(K102/M102,0)</f>
        <v>0.752452493499535</v>
      </c>
      <c r="P102" s="25" t="str">
        <f aca="false">IF(AND(L102&gt;=0,Q102&gt;=6,K102&gt;=M102*0.25),"TRUE","FALSE")</f>
        <v>FALSE</v>
      </c>
      <c r="Q102" s="27" t="n">
        <f aca="false">IFERROR(L102/(input!B7),0)</f>
        <v>3.84133333333333</v>
      </c>
      <c r="R102" s="22" t="s">
        <v>40</v>
      </c>
    </row>
    <row r="103" customFormat="false" ht="18" hidden="false" customHeight="true" outlineLevel="0" collapsed="false">
      <c r="A103" s="22" t="s">
        <v>80</v>
      </c>
      <c r="B103" s="22" t="s">
        <v>39</v>
      </c>
      <c r="C103" s="23" t="n">
        <v>21</v>
      </c>
      <c r="D103" s="23" t="n">
        <v>21</v>
      </c>
      <c r="E103" s="23" t="n">
        <f aca="false">input!B5+21</f>
        <v>59</v>
      </c>
      <c r="F103" s="24" t="n">
        <f aca="false">input!B6*12</f>
        <v>57600</v>
      </c>
      <c r="G103" s="24" t="n">
        <f aca="false">input!B7*12</f>
        <v>36000</v>
      </c>
      <c r="H103" s="24" t="n">
        <f aca="false">F103-G103</f>
        <v>21600</v>
      </c>
      <c r="I103" s="24" t="n">
        <f aca="false">input!B11*12+MAX(0, MIN(input!B18, H103/12)) * 12</f>
        <v>33096</v>
      </c>
      <c r="J103" s="24" t="n">
        <f aca="false">K102</f>
        <v>1881055.98849949</v>
      </c>
      <c r="K103" s="24" t="n">
        <f aca="false">J103*(1+input!B14)+I103*((1+input!B14)-1)/input!B14</f>
        <v>2045825.90769445</v>
      </c>
      <c r="L103" s="24" t="n">
        <f aca="false">L102+MAX(0,H103/12)</f>
        <v>13324</v>
      </c>
      <c r="M103" s="24" t="n">
        <f aca="false">calc_metrics!B4</f>
        <v>2499900</v>
      </c>
      <c r="N103" s="25" t="str">
        <f aca="false">IF(K103&gt;=M103,"TRUE","FALSE")</f>
        <v>FALSE</v>
      </c>
      <c r="O103" s="26" t="n">
        <f aca="false">IFERROR(K103/M103,0)</f>
        <v>0.818363097601685</v>
      </c>
      <c r="P103" s="25" t="str">
        <f aca="false">IF(AND(L103&gt;=0,Q103&gt;=6,K103&gt;=M103*0.25),"TRUE","FALSE")</f>
        <v>FALSE</v>
      </c>
      <c r="Q103" s="27" t="n">
        <f aca="false">IFERROR(L103/(input!B7),0)</f>
        <v>4.44133333333333</v>
      </c>
      <c r="R103" s="22" t="s">
        <v>40</v>
      </c>
    </row>
    <row r="104" customFormat="false" ht="18" hidden="false" customHeight="true" outlineLevel="0" collapsed="false">
      <c r="A104" s="22" t="s">
        <v>80</v>
      </c>
      <c r="B104" s="22" t="s">
        <v>39</v>
      </c>
      <c r="C104" s="23" t="n">
        <v>22</v>
      </c>
      <c r="D104" s="23" t="n">
        <v>22</v>
      </c>
      <c r="E104" s="23" t="n">
        <f aca="false">input!B5+22</f>
        <v>60</v>
      </c>
      <c r="F104" s="24" t="n">
        <f aca="false">input!B6*12</f>
        <v>57600</v>
      </c>
      <c r="G104" s="24" t="n">
        <f aca="false">input!B7*12</f>
        <v>36000</v>
      </c>
      <c r="H104" s="24" t="n">
        <f aca="false">F104-G104</f>
        <v>21600</v>
      </c>
      <c r="I104" s="24" t="n">
        <f aca="false">input!B11*12+MAX(0, MIN(input!B18, H104/12)) * 12</f>
        <v>33096</v>
      </c>
      <c r="J104" s="24" t="n">
        <f aca="false">K103</f>
        <v>2045825.90769445</v>
      </c>
      <c r="K104" s="24" t="n">
        <f aca="false">J104*(1+input!B14)+I104*((1+input!B14)-1)/input!B14</f>
        <v>2222129.72123306</v>
      </c>
      <c r="L104" s="24" t="n">
        <f aca="false">L103+MAX(0,H104/12)</f>
        <v>15124</v>
      </c>
      <c r="M104" s="24" t="n">
        <f aca="false">calc_metrics!B4</f>
        <v>2499900</v>
      </c>
      <c r="N104" s="25" t="str">
        <f aca="false">IF(K104&gt;=M104,"TRUE","FALSE")</f>
        <v>FALSE</v>
      </c>
      <c r="O104" s="26" t="n">
        <f aca="false">IFERROR(K104/M104,0)</f>
        <v>0.888887443990985</v>
      </c>
      <c r="P104" s="25" t="str">
        <f aca="false">IF(AND(L104&gt;=0,Q104&gt;=6,K104&gt;=M104*0.25),"TRUE","FALSE")</f>
        <v>FALSE</v>
      </c>
      <c r="Q104" s="27" t="n">
        <f aca="false">IFERROR(L104/(input!B7),0)</f>
        <v>5.04133333333333</v>
      </c>
      <c r="R104" s="22" t="s">
        <v>40</v>
      </c>
    </row>
    <row r="105" customFormat="false" ht="18" hidden="false" customHeight="true" outlineLevel="0" collapsed="false">
      <c r="A105" s="22" t="s">
        <v>80</v>
      </c>
      <c r="B105" s="22" t="s">
        <v>39</v>
      </c>
      <c r="C105" s="23" t="n">
        <v>23</v>
      </c>
      <c r="D105" s="23" t="n">
        <v>23</v>
      </c>
      <c r="E105" s="23" t="n">
        <f aca="false">input!B5+23</f>
        <v>61</v>
      </c>
      <c r="F105" s="24" t="n">
        <f aca="false">input!B6*12</f>
        <v>57600</v>
      </c>
      <c r="G105" s="24" t="n">
        <f aca="false">input!B7*12</f>
        <v>36000</v>
      </c>
      <c r="H105" s="24" t="n">
        <f aca="false">F105-G105</f>
        <v>21600</v>
      </c>
      <c r="I105" s="24" t="n">
        <f aca="false">input!B11*12+MAX(0, MIN(input!B18, H105/12)) * 12</f>
        <v>33096</v>
      </c>
      <c r="J105" s="24" t="n">
        <f aca="false">K104</f>
        <v>2222129.72123306</v>
      </c>
      <c r="K105" s="24" t="n">
        <f aca="false">J105*(1+input!B14)+I105*((1+input!B14)-1)/input!B14</f>
        <v>2410774.80171938</v>
      </c>
      <c r="L105" s="24" t="n">
        <f aca="false">L104+MAX(0,H105/12)</f>
        <v>16924</v>
      </c>
      <c r="M105" s="24" t="n">
        <f aca="false">calc_metrics!B4</f>
        <v>2499900</v>
      </c>
      <c r="N105" s="25" t="str">
        <f aca="false">IF(K105&gt;=M105,"TRUE","FALSE")</f>
        <v>FALSE</v>
      </c>
      <c r="O105" s="26" t="n">
        <f aca="false">IFERROR(K105/M105,0)</f>
        <v>0.964348494627536</v>
      </c>
      <c r="P105" s="25" t="str">
        <f aca="false">IF(AND(L105&gt;=0,Q105&gt;=6,K105&gt;=M105*0.25),"TRUE","FALSE")</f>
        <v>FALSE</v>
      </c>
      <c r="Q105" s="27" t="n">
        <f aca="false">IFERROR(L105/(input!B7),0)</f>
        <v>5.64133333333333</v>
      </c>
      <c r="R105" s="22" t="s">
        <v>40</v>
      </c>
    </row>
    <row r="106" customFormat="false" ht="18" hidden="false" customHeight="true" outlineLevel="0" collapsed="false">
      <c r="A106" s="22" t="s">
        <v>80</v>
      </c>
      <c r="B106" s="22" t="s">
        <v>39</v>
      </c>
      <c r="C106" s="23" t="n">
        <v>24</v>
      </c>
      <c r="D106" s="23" t="n">
        <v>24</v>
      </c>
      <c r="E106" s="23" t="n">
        <f aca="false">input!B5+24</f>
        <v>62</v>
      </c>
      <c r="F106" s="24" t="n">
        <f aca="false">input!B6*12</f>
        <v>57600</v>
      </c>
      <c r="G106" s="24" t="n">
        <f aca="false">input!B7*12</f>
        <v>36000</v>
      </c>
      <c r="H106" s="24" t="n">
        <f aca="false">F106-G106</f>
        <v>21600</v>
      </c>
      <c r="I106" s="24" t="n">
        <f aca="false">input!B11*12+MAX(0, MIN(input!B18, H106/12)) * 12</f>
        <v>33096</v>
      </c>
      <c r="J106" s="24" t="n">
        <f aca="false">K105</f>
        <v>2410774.80171938</v>
      </c>
      <c r="K106" s="24" t="n">
        <f aca="false">J106*(1+input!B14)+I106*((1+input!B14)-1)/input!B14</f>
        <v>2612625.03783973</v>
      </c>
      <c r="L106" s="24" t="n">
        <f aca="false">L105+MAX(0,H106/12)</f>
        <v>18724</v>
      </c>
      <c r="M106" s="24" t="n">
        <f aca="false">calc_metrics!B4</f>
        <v>2499900</v>
      </c>
      <c r="N106" s="25" t="str">
        <f aca="false">IF(K106&gt;=M106,"TRUE","FALSE")</f>
        <v>TRUE</v>
      </c>
      <c r="O106" s="26" t="n">
        <f aca="false">IFERROR(K106/M106,0)</f>
        <v>1.04509181880865</v>
      </c>
      <c r="P106" s="25" t="str">
        <f aca="false">IF(AND(L106&gt;=0,Q106&gt;=6,K106&gt;=M106*0.25),"TRUE","FALSE")</f>
        <v>TRUE</v>
      </c>
      <c r="Q106" s="27" t="n">
        <f aca="false">IFERROR(L106/(input!B7),0)</f>
        <v>6.24133333333333</v>
      </c>
      <c r="R106" s="22" t="s">
        <v>40</v>
      </c>
    </row>
    <row r="107" customFormat="false" ht="18" hidden="false" customHeight="true" outlineLevel="0" collapsed="false">
      <c r="A107" s="22" t="s">
        <v>80</v>
      </c>
      <c r="B107" s="22" t="s">
        <v>39</v>
      </c>
      <c r="C107" s="23" t="n">
        <v>25</v>
      </c>
      <c r="D107" s="23" t="n">
        <v>25</v>
      </c>
      <c r="E107" s="23" t="n">
        <f aca="false">input!B5+25</f>
        <v>63</v>
      </c>
      <c r="F107" s="24" t="n">
        <f aca="false">input!B6*12</f>
        <v>57600</v>
      </c>
      <c r="G107" s="24" t="n">
        <f aca="false">input!B7*12</f>
        <v>36000</v>
      </c>
      <c r="H107" s="24" t="n">
        <f aca="false">F107-G107</f>
        <v>21600</v>
      </c>
      <c r="I107" s="24" t="n">
        <f aca="false">input!B11*12+MAX(0, MIN(input!B18, H107/12)) * 12</f>
        <v>33096</v>
      </c>
      <c r="J107" s="24" t="n">
        <f aca="false">K106</f>
        <v>2612625.03783973</v>
      </c>
      <c r="K107" s="24" t="n">
        <f aca="false">J107*(1+input!B14)+I107*((1+input!B14)-1)/input!B14</f>
        <v>2828604.79048852</v>
      </c>
      <c r="L107" s="24" t="n">
        <f aca="false">L106+MAX(0,H107/12)</f>
        <v>20524</v>
      </c>
      <c r="M107" s="24" t="n">
        <f aca="false">calc_metrics!B4</f>
        <v>2499900</v>
      </c>
      <c r="N107" s="25" t="str">
        <f aca="false">IF(K107&gt;=M107,"TRUE","FALSE")</f>
        <v>TRUE</v>
      </c>
      <c r="O107" s="26" t="n">
        <f aca="false">IFERROR(K107/M107,0)</f>
        <v>1.13148717568243</v>
      </c>
      <c r="P107" s="25" t="str">
        <f aca="false">IF(AND(L107&gt;=0,Q107&gt;=6,K107&gt;=M107*0.25),"TRUE","FALSE")</f>
        <v>TRUE</v>
      </c>
      <c r="Q107" s="27" t="n">
        <f aca="false">IFERROR(L107/(input!B7),0)</f>
        <v>6.84133333333333</v>
      </c>
      <c r="R107" s="22" t="s">
        <v>40</v>
      </c>
    </row>
    <row r="108" customFormat="false" ht="18" hidden="false" customHeight="true" outlineLevel="0" collapsed="false">
      <c r="A108" s="22" t="s">
        <v>80</v>
      </c>
      <c r="B108" s="22" t="s">
        <v>39</v>
      </c>
      <c r="C108" s="23" t="n">
        <v>26</v>
      </c>
      <c r="D108" s="23" t="n">
        <v>26</v>
      </c>
      <c r="E108" s="23" t="n">
        <f aca="false">input!B5+26</f>
        <v>64</v>
      </c>
      <c r="F108" s="24" t="n">
        <f aca="false">input!B6*12</f>
        <v>57600</v>
      </c>
      <c r="G108" s="24" t="n">
        <f aca="false">input!B7*12</f>
        <v>36000</v>
      </c>
      <c r="H108" s="24" t="n">
        <f aca="false">F108-G108</f>
        <v>21600</v>
      </c>
      <c r="I108" s="24" t="n">
        <f aca="false">input!B11*12+MAX(0, MIN(input!B18, H108/12)) * 12</f>
        <v>33096</v>
      </c>
      <c r="J108" s="24" t="n">
        <f aca="false">K107</f>
        <v>2828604.79048852</v>
      </c>
      <c r="K108" s="24" t="n">
        <f aca="false">J108*(1+input!B14)+I108*((1+input!B14)-1)/input!B14</f>
        <v>3059703.12582271</v>
      </c>
      <c r="L108" s="24" t="n">
        <f aca="false">L107+MAX(0,H108/12)</f>
        <v>22324</v>
      </c>
      <c r="M108" s="24" t="n">
        <f aca="false">calc_metrics!B4</f>
        <v>2499900</v>
      </c>
      <c r="N108" s="25" t="str">
        <f aca="false">IF(K108&gt;=M108,"TRUE","FALSE")</f>
        <v>TRUE</v>
      </c>
      <c r="O108" s="26" t="n">
        <f aca="false">IFERROR(K108/M108,0)</f>
        <v>1.22393020753739</v>
      </c>
      <c r="P108" s="25" t="str">
        <f aca="false">IF(AND(L108&gt;=0,Q108&gt;=6,K108&gt;=M108*0.25),"TRUE","FALSE")</f>
        <v>TRUE</v>
      </c>
      <c r="Q108" s="27" t="n">
        <f aca="false">IFERROR(L108/(input!B7),0)</f>
        <v>7.44133333333333</v>
      </c>
      <c r="R108" s="22" t="s">
        <v>40</v>
      </c>
    </row>
    <row r="109" customFormat="false" ht="18" hidden="false" customHeight="true" outlineLevel="0" collapsed="false">
      <c r="A109" s="22" t="s">
        <v>80</v>
      </c>
      <c r="B109" s="22" t="s">
        <v>39</v>
      </c>
      <c r="C109" s="23" t="n">
        <v>27</v>
      </c>
      <c r="D109" s="23" t="n">
        <v>27</v>
      </c>
      <c r="E109" s="23" t="n">
        <f aca="false">input!B5+27</f>
        <v>65</v>
      </c>
      <c r="F109" s="24" t="n">
        <f aca="false">input!B6*12</f>
        <v>57600</v>
      </c>
      <c r="G109" s="24" t="n">
        <f aca="false">input!B7*12</f>
        <v>36000</v>
      </c>
      <c r="H109" s="24" t="n">
        <f aca="false">F109-G109</f>
        <v>21600</v>
      </c>
      <c r="I109" s="24" t="n">
        <f aca="false">input!B11*12+MAX(0, MIN(input!B18, H109/12)) * 12</f>
        <v>33096</v>
      </c>
      <c r="J109" s="24" t="n">
        <f aca="false">K108</f>
        <v>3059703.12582271</v>
      </c>
      <c r="K109" s="24" t="n">
        <f aca="false">J109*(1+input!B14)+I109*((1+input!B14)-1)/input!B14</f>
        <v>3306978.3446303</v>
      </c>
      <c r="L109" s="24" t="n">
        <f aca="false">L108+MAX(0,H109/12)</f>
        <v>24124</v>
      </c>
      <c r="M109" s="24" t="n">
        <f aca="false">calc_metrics!B4</f>
        <v>2499900</v>
      </c>
      <c r="N109" s="25" t="str">
        <f aca="false">IF(K109&gt;=M109,"TRUE","FALSE")</f>
        <v>TRUE</v>
      </c>
      <c r="O109" s="26" t="n">
        <f aca="false">IFERROR(K109/M109,0)</f>
        <v>1.32284425162219</v>
      </c>
      <c r="P109" s="25" t="str">
        <f aca="false">IF(AND(L109&gt;=0,Q109&gt;=6,K109&gt;=M109*0.25),"TRUE","FALSE")</f>
        <v>TRUE</v>
      </c>
      <c r="Q109" s="27" t="n">
        <f aca="false">IFERROR(L109/(input!B7),0)</f>
        <v>8.04133333333333</v>
      </c>
      <c r="R109" s="22" t="s">
        <v>40</v>
      </c>
    </row>
    <row r="110" customFormat="false" ht="18" hidden="false" customHeight="true" outlineLevel="0" collapsed="false">
      <c r="A110" s="22" t="s">
        <v>80</v>
      </c>
      <c r="B110" s="22" t="s">
        <v>39</v>
      </c>
      <c r="C110" s="23" t="n">
        <v>28</v>
      </c>
      <c r="D110" s="23" t="n">
        <v>28</v>
      </c>
      <c r="E110" s="23" t="n">
        <f aca="false">input!B5+28</f>
        <v>66</v>
      </c>
      <c r="F110" s="24" t="n">
        <f aca="false">input!B6*12</f>
        <v>57600</v>
      </c>
      <c r="G110" s="24" t="n">
        <f aca="false">input!B7*12</f>
        <v>36000</v>
      </c>
      <c r="H110" s="24" t="n">
        <f aca="false">F110-G110</f>
        <v>21600</v>
      </c>
      <c r="I110" s="24" t="n">
        <f aca="false">input!B11*12+MAX(0, MIN(input!B18, H110/12)) * 12</f>
        <v>33096</v>
      </c>
      <c r="J110" s="24" t="n">
        <f aca="false">K109</f>
        <v>3306978.3446303</v>
      </c>
      <c r="K110" s="24" t="n">
        <f aca="false">J110*(1+input!B14)+I110*((1+input!B14)-1)/input!B14</f>
        <v>3571562.82875442</v>
      </c>
      <c r="L110" s="24" t="n">
        <f aca="false">L109+MAX(0,H110/12)</f>
        <v>25924</v>
      </c>
      <c r="M110" s="24" t="n">
        <f aca="false">calc_metrics!B4</f>
        <v>2499900</v>
      </c>
      <c r="N110" s="25" t="str">
        <f aca="false">IF(K110&gt;=M110,"TRUE","FALSE")</f>
        <v>TRUE</v>
      </c>
      <c r="O110" s="26" t="n">
        <f aca="false">IFERROR(K110/M110,0)</f>
        <v>1.42868227879292</v>
      </c>
      <c r="P110" s="25" t="str">
        <f aca="false">IF(AND(L110&gt;=0,Q110&gt;=6,K110&gt;=M110*0.25),"TRUE","FALSE")</f>
        <v>TRUE</v>
      </c>
      <c r="Q110" s="27" t="n">
        <f aca="false">IFERROR(L110/(input!B7),0)</f>
        <v>8.64133333333333</v>
      </c>
      <c r="R110" s="22" t="s">
        <v>40</v>
      </c>
    </row>
    <row r="111" customFormat="false" ht="18" hidden="false" customHeight="true" outlineLevel="0" collapsed="false">
      <c r="A111" s="22" t="s">
        <v>80</v>
      </c>
      <c r="B111" s="22" t="s">
        <v>39</v>
      </c>
      <c r="C111" s="23" t="n">
        <v>29</v>
      </c>
      <c r="D111" s="23" t="n">
        <v>29</v>
      </c>
      <c r="E111" s="23" t="n">
        <f aca="false">input!B5+29</f>
        <v>67</v>
      </c>
      <c r="F111" s="24" t="n">
        <f aca="false">input!B6*12</f>
        <v>57600</v>
      </c>
      <c r="G111" s="24" t="n">
        <f aca="false">input!B7*12</f>
        <v>36000</v>
      </c>
      <c r="H111" s="24" t="n">
        <f aca="false">F111-G111</f>
        <v>21600</v>
      </c>
      <c r="I111" s="24" t="n">
        <f aca="false">input!B11*12+MAX(0, MIN(input!B18, H111/12)) * 12</f>
        <v>33096</v>
      </c>
      <c r="J111" s="24" t="n">
        <f aca="false">K110</f>
        <v>3571562.82875442</v>
      </c>
      <c r="K111" s="24" t="n">
        <f aca="false">J111*(1+input!B14)+I111*((1+input!B14)-1)/input!B14</f>
        <v>3854668.22676723</v>
      </c>
      <c r="L111" s="24" t="n">
        <f aca="false">L110+MAX(0,H111/12)</f>
        <v>27724</v>
      </c>
      <c r="M111" s="24" t="n">
        <f aca="false">calc_metrics!B4</f>
        <v>2499900</v>
      </c>
      <c r="N111" s="25" t="str">
        <f aca="false">IF(K111&gt;=M111,"TRUE","FALSE")</f>
        <v>TRUE</v>
      </c>
      <c r="O111" s="26" t="n">
        <f aca="false">IFERROR(K111/M111,0)</f>
        <v>1.54192896786561</v>
      </c>
      <c r="P111" s="25" t="str">
        <f aca="false">IF(AND(L111&gt;=0,Q111&gt;=6,K111&gt;=M111*0.25),"TRUE","FALSE")</f>
        <v>TRUE</v>
      </c>
      <c r="Q111" s="27" t="n">
        <f aca="false">IFERROR(L111/(input!B7),0)</f>
        <v>9.24133333333333</v>
      </c>
      <c r="R111" s="22" t="s">
        <v>40</v>
      </c>
    </row>
    <row r="112" customFormat="false" ht="18" hidden="false" customHeight="true" outlineLevel="0" collapsed="false">
      <c r="A112" s="22" t="s">
        <v>80</v>
      </c>
      <c r="B112" s="22" t="s">
        <v>39</v>
      </c>
      <c r="C112" s="23" t="n">
        <v>30</v>
      </c>
      <c r="D112" s="23" t="n">
        <v>30</v>
      </c>
      <c r="E112" s="23" t="n">
        <f aca="false">input!B5+30</f>
        <v>68</v>
      </c>
      <c r="F112" s="24" t="n">
        <f aca="false">input!B6*12</f>
        <v>57600</v>
      </c>
      <c r="G112" s="24" t="n">
        <f aca="false">input!B7*12</f>
        <v>36000</v>
      </c>
      <c r="H112" s="24" t="n">
        <f aca="false">F112-G112</f>
        <v>21600</v>
      </c>
      <c r="I112" s="24" t="n">
        <f aca="false">input!B11*12+MAX(0, MIN(input!B18, H112/12)) * 12</f>
        <v>33096</v>
      </c>
      <c r="J112" s="24" t="n">
        <f aca="false">K111</f>
        <v>3854668.22676723</v>
      </c>
      <c r="K112" s="24" t="n">
        <f aca="false">J112*(1+input!B14)+I112*((1+input!B14)-1)/input!B14</f>
        <v>4157591.00264094</v>
      </c>
      <c r="L112" s="24" t="n">
        <f aca="false">L111+MAX(0,H112/12)</f>
        <v>29524</v>
      </c>
      <c r="M112" s="24" t="n">
        <f aca="false">calc_metrics!B4</f>
        <v>2499900</v>
      </c>
      <c r="N112" s="25" t="str">
        <f aca="false">IF(K112&gt;=M112,"TRUE","FALSE")</f>
        <v>TRUE</v>
      </c>
      <c r="O112" s="26" t="n">
        <f aca="false">IFERROR(K112/M112,0)</f>
        <v>1.66310292517338</v>
      </c>
      <c r="P112" s="25" t="str">
        <f aca="false">IF(AND(L112&gt;=0,Q112&gt;=6,K112&gt;=M112*0.25),"TRUE","FALSE")</f>
        <v>TRUE</v>
      </c>
      <c r="Q112" s="27" t="n">
        <f aca="false">IFERROR(L112/(input!B7),0)</f>
        <v>9.84133333333333</v>
      </c>
      <c r="R112" s="22" t="s">
        <v>40</v>
      </c>
    </row>
    <row r="113" customFormat="false" ht="18" hidden="false" customHeight="true" outlineLevel="0" collapsed="false">
      <c r="A113" s="22" t="s">
        <v>80</v>
      </c>
      <c r="B113" s="22" t="s">
        <v>39</v>
      </c>
      <c r="C113" s="23" t="n">
        <v>31</v>
      </c>
      <c r="D113" s="23" t="n">
        <v>31</v>
      </c>
      <c r="E113" s="23" t="n">
        <f aca="false">input!B5+31</f>
        <v>69</v>
      </c>
      <c r="F113" s="24" t="n">
        <f aca="false">input!B6*12</f>
        <v>57600</v>
      </c>
      <c r="G113" s="24" t="n">
        <f aca="false">input!B7*12</f>
        <v>36000</v>
      </c>
      <c r="H113" s="24" t="n">
        <f aca="false">F113-G113</f>
        <v>21600</v>
      </c>
      <c r="I113" s="24" t="n">
        <f aca="false">input!B11*12+MAX(0, MIN(input!B18, H113/12)) * 12</f>
        <v>33096</v>
      </c>
      <c r="J113" s="24" t="n">
        <f aca="false">K112</f>
        <v>4157591.00264094</v>
      </c>
      <c r="K113" s="24" t="n">
        <f aca="false">J113*(1+input!B14)+I113*((1+input!B14)-1)/input!B14</f>
        <v>4481718.37282581</v>
      </c>
      <c r="L113" s="24" t="n">
        <f aca="false">L112+MAX(0,H113/12)</f>
        <v>31324</v>
      </c>
      <c r="M113" s="24" t="n">
        <f aca="false">calc_metrics!B4</f>
        <v>2499900</v>
      </c>
      <c r="N113" s="25" t="str">
        <f aca="false">IF(K113&gt;=M113,"TRUE","FALSE")</f>
        <v>TRUE</v>
      </c>
      <c r="O113" s="26" t="n">
        <f aca="false">IFERROR(K113/M113,0)</f>
        <v>1.7927590594927</v>
      </c>
      <c r="P113" s="25" t="str">
        <f aca="false">IF(AND(L113&gt;=0,Q113&gt;=6,K113&gt;=M113*0.25),"TRUE","FALSE")</f>
        <v>TRUE</v>
      </c>
      <c r="Q113" s="27" t="n">
        <f aca="false">IFERROR(L113/(input!B7),0)</f>
        <v>10.4413333333333</v>
      </c>
      <c r="R113" s="22" t="s">
        <v>40</v>
      </c>
    </row>
    <row r="114" customFormat="false" ht="18" hidden="false" customHeight="true" outlineLevel="0" collapsed="false">
      <c r="A114" s="22" t="s">
        <v>80</v>
      </c>
      <c r="B114" s="22" t="s">
        <v>39</v>
      </c>
      <c r="C114" s="23" t="n">
        <v>32</v>
      </c>
      <c r="D114" s="23" t="n">
        <v>32</v>
      </c>
      <c r="E114" s="23" t="n">
        <f aca="false">input!B5+32</f>
        <v>70</v>
      </c>
      <c r="F114" s="24" t="n">
        <f aca="false">input!B6*12</f>
        <v>57600</v>
      </c>
      <c r="G114" s="24" t="n">
        <f aca="false">input!B7*12</f>
        <v>36000</v>
      </c>
      <c r="H114" s="24" t="n">
        <f aca="false">F114-G114</f>
        <v>21600</v>
      </c>
      <c r="I114" s="24" t="n">
        <f aca="false">input!B11*12+MAX(0, MIN(input!B18, H114/12)) * 12</f>
        <v>33096</v>
      </c>
      <c r="J114" s="24" t="n">
        <f aca="false">K113</f>
        <v>4481718.37282581</v>
      </c>
      <c r="K114" s="24" t="n">
        <f aca="false">J114*(1+input!B14)+I114*((1+input!B14)-1)/input!B14</f>
        <v>4828534.65892361</v>
      </c>
      <c r="L114" s="24" t="n">
        <f aca="false">L113+MAX(0,H114/12)</f>
        <v>33124</v>
      </c>
      <c r="M114" s="24" t="n">
        <f aca="false">calc_metrics!B4</f>
        <v>2499900</v>
      </c>
      <c r="N114" s="25" t="str">
        <f aca="false">IF(K114&gt;=M114,"TRUE","FALSE")</f>
        <v>TRUE</v>
      </c>
      <c r="O114" s="26" t="n">
        <f aca="false">IFERROR(K114/M114,0)</f>
        <v>1.93149112321437</v>
      </c>
      <c r="P114" s="25" t="str">
        <f aca="false">IF(AND(L114&gt;=0,Q114&gt;=6,K114&gt;=M114*0.25),"TRUE","FALSE")</f>
        <v>TRUE</v>
      </c>
      <c r="Q114" s="27" t="n">
        <f aca="false">IFERROR(L114/(input!B7),0)</f>
        <v>11.0413333333333</v>
      </c>
      <c r="R114" s="22" t="s">
        <v>40</v>
      </c>
    </row>
    <row r="115" customFormat="false" ht="18" hidden="false" customHeight="true" outlineLevel="0" collapsed="false">
      <c r="A115" s="22" t="s">
        <v>80</v>
      </c>
      <c r="B115" s="22" t="s">
        <v>39</v>
      </c>
      <c r="C115" s="23" t="n">
        <v>33</v>
      </c>
      <c r="D115" s="23" t="n">
        <v>33</v>
      </c>
      <c r="E115" s="23" t="n">
        <f aca="false">input!B5+33</f>
        <v>71</v>
      </c>
      <c r="F115" s="24" t="n">
        <f aca="false">input!B6*12</f>
        <v>57600</v>
      </c>
      <c r="G115" s="24" t="n">
        <f aca="false">input!B7*12</f>
        <v>36000</v>
      </c>
      <c r="H115" s="24" t="n">
        <f aca="false">F115-G115</f>
        <v>21600</v>
      </c>
      <c r="I115" s="24" t="n">
        <f aca="false">input!B11*12+MAX(0, MIN(input!B18, H115/12)) * 12</f>
        <v>33096</v>
      </c>
      <c r="J115" s="24" t="n">
        <f aca="false">K114</f>
        <v>4828534.65892361</v>
      </c>
      <c r="K115" s="24" t="n">
        <f aca="false">J115*(1+input!B14)+I115*((1+input!B14)-1)/input!B14</f>
        <v>5199628.08504827</v>
      </c>
      <c r="L115" s="24" t="n">
        <f aca="false">L114+MAX(0,H115/12)</f>
        <v>34924</v>
      </c>
      <c r="M115" s="24" t="n">
        <f aca="false">calc_metrics!B4</f>
        <v>2499900</v>
      </c>
      <c r="N115" s="25" t="str">
        <f aca="false">IF(K115&gt;=M115,"TRUE","FALSE")</f>
        <v>TRUE</v>
      </c>
      <c r="O115" s="26" t="n">
        <f aca="false">IFERROR(K115/M115,0)</f>
        <v>2.07993443139656</v>
      </c>
      <c r="P115" s="25" t="str">
        <f aca="false">IF(AND(L115&gt;=0,Q115&gt;=6,K115&gt;=M115*0.25),"TRUE","FALSE")</f>
        <v>TRUE</v>
      </c>
      <c r="Q115" s="27" t="n">
        <f aca="false">IFERROR(L115/(input!B7),0)</f>
        <v>11.6413333333333</v>
      </c>
      <c r="R115" s="22" t="s">
        <v>40</v>
      </c>
    </row>
    <row r="116" customFormat="false" ht="18" hidden="false" customHeight="true" outlineLevel="0" collapsed="false">
      <c r="A116" s="22" t="s">
        <v>80</v>
      </c>
      <c r="B116" s="22" t="s">
        <v>39</v>
      </c>
      <c r="C116" s="23" t="n">
        <v>34</v>
      </c>
      <c r="D116" s="23" t="n">
        <v>34</v>
      </c>
      <c r="E116" s="23" t="n">
        <f aca="false">input!B5+34</f>
        <v>72</v>
      </c>
      <c r="F116" s="24" t="n">
        <f aca="false">input!B6*12</f>
        <v>57600</v>
      </c>
      <c r="G116" s="24" t="n">
        <f aca="false">input!B7*12</f>
        <v>36000</v>
      </c>
      <c r="H116" s="24" t="n">
        <f aca="false">F116-G116</f>
        <v>21600</v>
      </c>
      <c r="I116" s="24" t="n">
        <f aca="false">input!B11*12+MAX(0, MIN(input!B18, H116/12)) * 12</f>
        <v>33096</v>
      </c>
      <c r="J116" s="24" t="n">
        <f aca="false">K115</f>
        <v>5199628.08504827</v>
      </c>
      <c r="K116" s="24" t="n">
        <f aca="false">J116*(1+input!B14)+I116*((1+input!B14)-1)/input!B14</f>
        <v>5596698.05100165</v>
      </c>
      <c r="L116" s="24" t="n">
        <f aca="false">L115+MAX(0,H116/12)</f>
        <v>36724</v>
      </c>
      <c r="M116" s="24" t="n">
        <f aca="false">calc_metrics!B4</f>
        <v>2499900</v>
      </c>
      <c r="N116" s="25" t="str">
        <f aca="false">IF(K116&gt;=M116,"TRUE","FALSE")</f>
        <v>TRUE</v>
      </c>
      <c r="O116" s="26" t="n">
        <f aca="false">IFERROR(K116/M116,0)</f>
        <v>2.2387687711515</v>
      </c>
      <c r="P116" s="25" t="str">
        <f aca="false">IF(AND(L116&gt;=0,Q116&gt;=6,K116&gt;=M116*0.25),"TRUE","FALSE")</f>
        <v>TRUE</v>
      </c>
      <c r="Q116" s="27" t="n">
        <f aca="false">IFERROR(L116/(input!B7),0)</f>
        <v>12.2413333333333</v>
      </c>
      <c r="R116" s="22" t="s">
        <v>40</v>
      </c>
    </row>
    <row r="117" customFormat="false" ht="18" hidden="false" customHeight="true" outlineLevel="0" collapsed="false">
      <c r="A117" s="22" t="s">
        <v>80</v>
      </c>
      <c r="B117" s="22" t="s">
        <v>39</v>
      </c>
      <c r="C117" s="23" t="n">
        <v>35</v>
      </c>
      <c r="D117" s="23" t="n">
        <v>35</v>
      </c>
      <c r="E117" s="23" t="n">
        <f aca="false">input!B5+35</f>
        <v>73</v>
      </c>
      <c r="F117" s="24" t="n">
        <f aca="false">input!B6*12</f>
        <v>57600</v>
      </c>
      <c r="G117" s="24" t="n">
        <f aca="false">input!B7*12</f>
        <v>36000</v>
      </c>
      <c r="H117" s="24" t="n">
        <f aca="false">F117-G117</f>
        <v>21600</v>
      </c>
      <c r="I117" s="24" t="n">
        <f aca="false">input!B11*12+MAX(0, MIN(input!B18, H117/12)) * 12</f>
        <v>33096</v>
      </c>
      <c r="J117" s="24" t="n">
        <f aca="false">K116</f>
        <v>5596698.05100165</v>
      </c>
      <c r="K117" s="24" t="n">
        <f aca="false">J117*(1+input!B14)+I117*((1+input!B14)-1)/input!B14</f>
        <v>6021562.91457176</v>
      </c>
      <c r="L117" s="24" t="n">
        <f aca="false">L116+MAX(0,H117/12)</f>
        <v>38524</v>
      </c>
      <c r="M117" s="24" t="n">
        <f aca="false">calc_metrics!B4</f>
        <v>2499900</v>
      </c>
      <c r="N117" s="25" t="str">
        <f aca="false">IF(K117&gt;=M117,"TRUE","FALSE")</f>
        <v>TRUE</v>
      </c>
      <c r="O117" s="26" t="n">
        <f aca="false">IFERROR(K117/M117,0)</f>
        <v>2.40872151468929</v>
      </c>
      <c r="P117" s="25" t="str">
        <f aca="false">IF(AND(L117&gt;=0,Q117&gt;=6,K117&gt;=M117*0.25),"TRUE","FALSE")</f>
        <v>TRUE</v>
      </c>
      <c r="Q117" s="27" t="n">
        <f aca="false">IFERROR(L117/(input!B7),0)</f>
        <v>12.8413333333333</v>
      </c>
      <c r="R117" s="22" t="s">
        <v>40</v>
      </c>
    </row>
    <row r="118" customFormat="false" ht="18" hidden="false" customHeight="true" outlineLevel="0" collapsed="false">
      <c r="A118" s="22" t="s">
        <v>80</v>
      </c>
      <c r="B118" s="22" t="s">
        <v>39</v>
      </c>
      <c r="C118" s="23" t="n">
        <v>36</v>
      </c>
      <c r="D118" s="23" t="n">
        <v>36</v>
      </c>
      <c r="E118" s="23" t="n">
        <f aca="false">input!B5+36</f>
        <v>74</v>
      </c>
      <c r="F118" s="24" t="n">
        <f aca="false">input!B6*12</f>
        <v>57600</v>
      </c>
      <c r="G118" s="24" t="n">
        <f aca="false">input!B7*12</f>
        <v>36000</v>
      </c>
      <c r="H118" s="24" t="n">
        <f aca="false">F118-G118</f>
        <v>21600</v>
      </c>
      <c r="I118" s="24" t="n">
        <f aca="false">input!B11*12+MAX(0, MIN(input!B18, H118/12)) * 12</f>
        <v>33096</v>
      </c>
      <c r="J118" s="24" t="n">
        <f aca="false">K117</f>
        <v>6021562.91457176</v>
      </c>
      <c r="K118" s="24" t="n">
        <f aca="false">J118*(1+input!B14)+I118*((1+input!B14)-1)/input!B14</f>
        <v>6476168.31859178</v>
      </c>
      <c r="L118" s="24" t="n">
        <f aca="false">L117+MAX(0,H118/12)</f>
        <v>40324</v>
      </c>
      <c r="M118" s="24" t="n">
        <f aca="false">calc_metrics!B4</f>
        <v>2499900</v>
      </c>
      <c r="N118" s="25" t="str">
        <f aca="false">IF(K118&gt;=M118,"TRUE","FALSE")</f>
        <v>TRUE</v>
      </c>
      <c r="O118" s="26" t="n">
        <f aca="false">IFERROR(K118/M118,0)</f>
        <v>2.59057095027472</v>
      </c>
      <c r="P118" s="25" t="str">
        <f aca="false">IF(AND(L118&gt;=0,Q118&gt;=6,K118&gt;=M118*0.25),"TRUE","FALSE")</f>
        <v>TRUE</v>
      </c>
      <c r="Q118" s="27" t="n">
        <f aca="false">IFERROR(L118/(input!B7),0)</f>
        <v>13.4413333333333</v>
      </c>
      <c r="R118" s="22" t="s">
        <v>40</v>
      </c>
    </row>
    <row r="119" customFormat="false" ht="18" hidden="false" customHeight="true" outlineLevel="0" collapsed="false">
      <c r="A119" s="22" t="s">
        <v>80</v>
      </c>
      <c r="B119" s="22" t="s">
        <v>39</v>
      </c>
      <c r="C119" s="23" t="n">
        <v>37</v>
      </c>
      <c r="D119" s="23" t="n">
        <v>37</v>
      </c>
      <c r="E119" s="23" t="n">
        <f aca="false">input!B5+37</f>
        <v>75</v>
      </c>
      <c r="F119" s="24" t="n">
        <f aca="false">input!B6*12</f>
        <v>57600</v>
      </c>
      <c r="G119" s="24" t="n">
        <f aca="false">input!B7*12</f>
        <v>36000</v>
      </c>
      <c r="H119" s="24" t="n">
        <f aca="false">F119-G119</f>
        <v>21600</v>
      </c>
      <c r="I119" s="24" t="n">
        <f aca="false">input!B11*12+MAX(0, MIN(input!B18, H119/12)) * 12</f>
        <v>33096</v>
      </c>
      <c r="J119" s="24" t="n">
        <f aca="false">K118</f>
        <v>6476168.31859178</v>
      </c>
      <c r="K119" s="24" t="n">
        <f aca="false">J119*(1+input!B14)+I119*((1+input!B14)-1)/input!B14</f>
        <v>6962596.10089321</v>
      </c>
      <c r="L119" s="24" t="n">
        <f aca="false">L118+MAX(0,H119/12)</f>
        <v>42124</v>
      </c>
      <c r="M119" s="24" t="n">
        <f aca="false">calc_metrics!B4</f>
        <v>2499900</v>
      </c>
      <c r="N119" s="25" t="str">
        <f aca="false">IF(K119&gt;=M119,"TRUE","FALSE")</f>
        <v>TRUE</v>
      </c>
      <c r="O119" s="26" t="n">
        <f aca="false">IFERROR(K119/M119,0)</f>
        <v>2.78514984635114</v>
      </c>
      <c r="P119" s="25" t="str">
        <f aca="false">IF(AND(L119&gt;=0,Q119&gt;=6,K119&gt;=M119*0.25),"TRUE","FALSE")</f>
        <v>TRUE</v>
      </c>
      <c r="Q119" s="27" t="n">
        <f aca="false">IFERROR(L119/(input!B7),0)</f>
        <v>14.0413333333333</v>
      </c>
      <c r="R119" s="22" t="s">
        <v>40</v>
      </c>
    </row>
    <row r="120" customFormat="false" ht="18" hidden="false" customHeight="true" outlineLevel="0" collapsed="false">
      <c r="A120" s="22" t="s">
        <v>80</v>
      </c>
      <c r="B120" s="22" t="s">
        <v>39</v>
      </c>
      <c r="C120" s="23" t="n">
        <v>38</v>
      </c>
      <c r="D120" s="23" t="n">
        <v>38</v>
      </c>
      <c r="E120" s="23" t="n">
        <f aca="false">input!B5+38</f>
        <v>76</v>
      </c>
      <c r="F120" s="24" t="n">
        <f aca="false">input!B6*12</f>
        <v>57600</v>
      </c>
      <c r="G120" s="24" t="n">
        <f aca="false">input!B7*12</f>
        <v>36000</v>
      </c>
      <c r="H120" s="24" t="n">
        <f aca="false">F120-G120</f>
        <v>21600</v>
      </c>
      <c r="I120" s="24" t="n">
        <f aca="false">input!B11*12+MAX(0, MIN(input!B18, H120/12)) * 12</f>
        <v>33096</v>
      </c>
      <c r="J120" s="24" t="n">
        <f aca="false">K119</f>
        <v>6962596.10089321</v>
      </c>
      <c r="K120" s="24" t="n">
        <f aca="false">J120*(1+input!B14)+I120*((1+input!B14)-1)/input!B14</f>
        <v>7483073.82795573</v>
      </c>
      <c r="L120" s="24" t="n">
        <f aca="false">L119+MAX(0,H120/12)</f>
        <v>43924</v>
      </c>
      <c r="M120" s="24" t="n">
        <f aca="false">calc_metrics!B4</f>
        <v>2499900</v>
      </c>
      <c r="N120" s="25" t="str">
        <f aca="false">IF(K120&gt;=M120,"TRUE","FALSE")</f>
        <v>TRUE</v>
      </c>
      <c r="O120" s="26" t="n">
        <f aca="false">IFERROR(K120/M120,0)</f>
        <v>2.9933492651529</v>
      </c>
      <c r="P120" s="25" t="str">
        <f aca="false">IF(AND(L120&gt;=0,Q120&gt;=6,K120&gt;=M120*0.25),"TRUE","FALSE")</f>
        <v>TRUE</v>
      </c>
      <c r="Q120" s="27" t="n">
        <f aca="false">IFERROR(L120/(input!B7),0)</f>
        <v>14.6413333333333</v>
      </c>
      <c r="R120" s="22" t="s">
        <v>40</v>
      </c>
    </row>
    <row r="121" customFormat="false" ht="18" hidden="false" customHeight="true" outlineLevel="0" collapsed="false">
      <c r="A121" s="22" t="s">
        <v>80</v>
      </c>
      <c r="B121" s="22" t="s">
        <v>39</v>
      </c>
      <c r="C121" s="23" t="n">
        <v>39</v>
      </c>
      <c r="D121" s="23" t="n">
        <v>39</v>
      </c>
      <c r="E121" s="23" t="n">
        <f aca="false">input!B5+39</f>
        <v>77</v>
      </c>
      <c r="F121" s="24" t="n">
        <f aca="false">input!B6*12</f>
        <v>57600</v>
      </c>
      <c r="G121" s="24" t="n">
        <f aca="false">input!B7*12</f>
        <v>36000</v>
      </c>
      <c r="H121" s="24" t="n">
        <f aca="false">F121-G121</f>
        <v>21600</v>
      </c>
      <c r="I121" s="24" t="n">
        <f aca="false">input!B11*12+MAX(0, MIN(input!B18, H121/12)) * 12</f>
        <v>33096</v>
      </c>
      <c r="J121" s="24" t="n">
        <f aca="false">K120</f>
        <v>7483073.82795573</v>
      </c>
      <c r="K121" s="24" t="n">
        <f aca="false">J121*(1+input!B14)+I121*((1+input!B14)-1)/input!B14</f>
        <v>8039984.99591264</v>
      </c>
      <c r="L121" s="24" t="n">
        <f aca="false">L120+MAX(0,H121/12)</f>
        <v>45724</v>
      </c>
      <c r="M121" s="24" t="n">
        <f aca="false">calc_metrics!B4</f>
        <v>2499900</v>
      </c>
      <c r="N121" s="25" t="str">
        <f aca="false">IF(K121&gt;=M121,"TRUE","FALSE")</f>
        <v>TRUE</v>
      </c>
      <c r="O121" s="26" t="n">
        <f aca="false">IFERROR(K121/M121,0)</f>
        <v>3.21612264327079</v>
      </c>
      <c r="P121" s="25" t="str">
        <f aca="false">IF(AND(L121&gt;=0,Q121&gt;=6,K121&gt;=M121*0.25),"TRUE","FALSE")</f>
        <v>TRUE</v>
      </c>
      <c r="Q121" s="27" t="n">
        <f aca="false">IFERROR(L121/(input!B7),0)</f>
        <v>15.2413333333333</v>
      </c>
      <c r="R121" s="22" t="s">
        <v>40</v>
      </c>
    </row>
    <row r="122" customFormat="false" ht="18" hidden="false" customHeight="true" outlineLevel="0" collapsed="false">
      <c r="A122" s="28" t="s">
        <v>81</v>
      </c>
      <c r="B122" s="28" t="s">
        <v>41</v>
      </c>
      <c r="C122" s="29" t="n">
        <v>0</v>
      </c>
      <c r="D122" s="29" t="n">
        <v>0</v>
      </c>
      <c r="E122" s="29" t="n">
        <f aca="false">input!B5+0</f>
        <v>38</v>
      </c>
      <c r="F122" s="30" t="n">
        <f aca="false">input!B6*12</f>
        <v>57600</v>
      </c>
      <c r="G122" s="30" t="n">
        <f aca="false">input!B7*12</f>
        <v>36000</v>
      </c>
      <c r="H122" s="30" t="n">
        <f aca="false">F122-G122</f>
        <v>21600</v>
      </c>
      <c r="I122" s="30" t="n">
        <f aca="false">input!B11*12+MAX(0, MIN(input!B18, H122/12)) * 12</f>
        <v>33096</v>
      </c>
      <c r="J122" s="30" t="n">
        <f aca="false">calc_is!B13</f>
        <v>147952</v>
      </c>
      <c r="K122" s="30" t="n">
        <f aca="false">J122*(1+input!B14)+I122*((1+input!B14)-1)/input!B14</f>
        <v>191404.64</v>
      </c>
      <c r="L122" s="30" t="n">
        <f aca="false">input!B8</f>
        <v>19124</v>
      </c>
      <c r="M122" s="30" t="n">
        <f aca="false">calc_metrics!B4</f>
        <v>2499900</v>
      </c>
      <c r="N122" s="31" t="str">
        <f aca="false">IF(K122&gt;=M122,"TRUE","FALSE")</f>
        <v>FALSE</v>
      </c>
      <c r="O122" s="32" t="n">
        <f aca="false">IFERROR(K122/M122,0)</f>
        <v>0.0765649185967439</v>
      </c>
      <c r="P122" s="31" t="str">
        <f aca="false">IF(AND(L122&gt;=0,Q122&gt;=6,K122&gt;=M122*0.25),"TRUE","FALSE")</f>
        <v>FALSE</v>
      </c>
      <c r="Q122" s="33" t="n">
        <f aca="false">IFERROR(L122/(input!B7),0)</f>
        <v>6.37466666666667</v>
      </c>
      <c r="R122" s="28" t="s">
        <v>38</v>
      </c>
    </row>
    <row r="123" customFormat="false" ht="18" hidden="false" customHeight="true" outlineLevel="0" collapsed="false">
      <c r="A123" s="28" t="s">
        <v>81</v>
      </c>
      <c r="B123" s="28" t="s">
        <v>41</v>
      </c>
      <c r="C123" s="29" t="n">
        <v>1</v>
      </c>
      <c r="D123" s="29" t="n">
        <v>1</v>
      </c>
      <c r="E123" s="29" t="n">
        <f aca="false">input!B5+1</f>
        <v>39</v>
      </c>
      <c r="F123" s="30" t="n">
        <f aca="false">input!B6*12*(1+input!G31)</f>
        <v>57600</v>
      </c>
      <c r="G123" s="30" t="n">
        <f aca="false">( input!B7 + input!I31 ) * 12</f>
        <v>42000</v>
      </c>
      <c r="H123" s="30" t="n">
        <f aca="false">F123-G123</f>
        <v>15600</v>
      </c>
      <c r="I123" s="30" t="n">
        <f aca="false">input!B11*12+MAX(0, MIN(input!B18+input!J31, H123/12)) * 12</f>
        <v>33096</v>
      </c>
      <c r="J123" s="30" t="n">
        <f aca="false">K122</f>
        <v>191404.64</v>
      </c>
      <c r="K123" s="30" t="n">
        <f aca="false">J123*(1+input!B14)+I123*((1+input!B14)-1)/input!B14</f>
        <v>237898.9648</v>
      </c>
      <c r="L123" s="30" t="n">
        <f aca="false">L122+MAX(0,H123/12)</f>
        <v>20424</v>
      </c>
      <c r="M123" s="30" t="n">
        <f aca="false">calc_metrics!B4</f>
        <v>2499900</v>
      </c>
      <c r="N123" s="31" t="str">
        <f aca="false">IF(K123&gt;=M123,"TRUE","FALSE")</f>
        <v>FALSE</v>
      </c>
      <c r="O123" s="32" t="n">
        <f aca="false">IFERROR(K123/M123,0)</f>
        <v>0.0951633924556983</v>
      </c>
      <c r="P123" s="31" t="str">
        <f aca="false">IF(AND(L123&gt;=0,Q123&gt;=6,K123&gt;=M123*0.25),"TRUE","FALSE")</f>
        <v>FALSE</v>
      </c>
      <c r="Q123" s="33" t="n">
        <f aca="false">IFERROR(L123/(input!B7),0)</f>
        <v>6.808</v>
      </c>
      <c r="R123" s="28" t="s">
        <v>38</v>
      </c>
    </row>
    <row r="124" customFormat="false" ht="18" hidden="false" customHeight="true" outlineLevel="0" collapsed="false">
      <c r="A124" s="28" t="s">
        <v>81</v>
      </c>
      <c r="B124" s="28" t="s">
        <v>41</v>
      </c>
      <c r="C124" s="29" t="n">
        <v>2</v>
      </c>
      <c r="D124" s="29" t="n">
        <v>2</v>
      </c>
      <c r="E124" s="29" t="n">
        <f aca="false">input!B5+2</f>
        <v>40</v>
      </c>
      <c r="F124" s="30" t="n">
        <f aca="false">input!B6*12</f>
        <v>57600</v>
      </c>
      <c r="G124" s="30" t="n">
        <f aca="false">input!B7*12</f>
        <v>36000</v>
      </c>
      <c r="H124" s="30" t="n">
        <f aca="false">F124-G124</f>
        <v>21600</v>
      </c>
      <c r="I124" s="30" t="n">
        <f aca="false">input!B11*12+MAX(0, MIN(input!B18, H124/12)) * 12</f>
        <v>33096</v>
      </c>
      <c r="J124" s="30" t="n">
        <f aca="false">K123</f>
        <v>237898.9648</v>
      </c>
      <c r="K124" s="30" t="n">
        <f aca="false">J124*(1+input!B14)+I124*((1+input!B14)-1)/input!B14</f>
        <v>287647.892336</v>
      </c>
      <c r="L124" s="30" t="n">
        <f aca="false">L123+MAX(0,H124/12)</f>
        <v>22224</v>
      </c>
      <c r="M124" s="30" t="n">
        <f aca="false">calc_metrics!B4</f>
        <v>2499900</v>
      </c>
      <c r="N124" s="31" t="str">
        <f aca="false">IF(K124&gt;=M124,"TRUE","FALSE")</f>
        <v>FALSE</v>
      </c>
      <c r="O124" s="32" t="n">
        <f aca="false">IFERROR(K124/M124,0)</f>
        <v>0.115063759484779</v>
      </c>
      <c r="P124" s="31" t="str">
        <f aca="false">IF(AND(L124&gt;=0,Q124&gt;=6,K124&gt;=M124*0.25),"TRUE","FALSE")</f>
        <v>FALSE</v>
      </c>
      <c r="Q124" s="33" t="n">
        <f aca="false">IFERROR(L124/(input!B7),0)</f>
        <v>7.408</v>
      </c>
      <c r="R124" s="28" t="s">
        <v>38</v>
      </c>
    </row>
    <row r="125" customFormat="false" ht="18" hidden="false" customHeight="true" outlineLevel="0" collapsed="false">
      <c r="A125" s="28" t="s">
        <v>81</v>
      </c>
      <c r="B125" s="28" t="s">
        <v>41</v>
      </c>
      <c r="C125" s="29" t="n">
        <v>3</v>
      </c>
      <c r="D125" s="29" t="n">
        <v>3</v>
      </c>
      <c r="E125" s="29" t="n">
        <f aca="false">input!B5+3</f>
        <v>41</v>
      </c>
      <c r="F125" s="30" t="n">
        <f aca="false">input!B6*12</f>
        <v>57600</v>
      </c>
      <c r="G125" s="30" t="n">
        <f aca="false">input!B7*12</f>
        <v>36000</v>
      </c>
      <c r="H125" s="30" t="n">
        <f aca="false">F125-G125</f>
        <v>21600</v>
      </c>
      <c r="I125" s="30" t="n">
        <f aca="false">input!B11*12+MAX(0, MIN(input!B18, H125/12)) * 12</f>
        <v>33096</v>
      </c>
      <c r="J125" s="30" t="n">
        <f aca="false">K124</f>
        <v>287647.892336</v>
      </c>
      <c r="K125" s="30" t="n">
        <f aca="false">J125*(1+input!B14)+I125*((1+input!B14)-1)/input!B14</f>
        <v>340879.24479952</v>
      </c>
      <c r="L125" s="30" t="n">
        <f aca="false">L124+MAX(0,H125/12)</f>
        <v>24024</v>
      </c>
      <c r="M125" s="30" t="n">
        <f aca="false">calc_metrics!B4</f>
        <v>2499900</v>
      </c>
      <c r="N125" s="31" t="str">
        <f aca="false">IF(K125&gt;=M125,"TRUE","FALSE")</f>
        <v>FALSE</v>
      </c>
      <c r="O125" s="32" t="n">
        <f aca="false">IFERROR(K125/M125,0)</f>
        <v>0.136357152205896</v>
      </c>
      <c r="P125" s="31" t="str">
        <f aca="false">IF(AND(L125&gt;=0,Q125&gt;=6,K125&gt;=M125*0.25),"TRUE","FALSE")</f>
        <v>FALSE</v>
      </c>
      <c r="Q125" s="33" t="n">
        <f aca="false">IFERROR(L125/(input!B7),0)</f>
        <v>8.008</v>
      </c>
      <c r="R125" s="28" t="s">
        <v>38</v>
      </c>
    </row>
    <row r="126" customFormat="false" ht="18" hidden="false" customHeight="true" outlineLevel="0" collapsed="false">
      <c r="A126" s="28" t="s">
        <v>81</v>
      </c>
      <c r="B126" s="28" t="s">
        <v>41</v>
      </c>
      <c r="C126" s="29" t="n">
        <v>4</v>
      </c>
      <c r="D126" s="29" t="n">
        <v>4</v>
      </c>
      <c r="E126" s="29" t="n">
        <f aca="false">input!B5+4</f>
        <v>42</v>
      </c>
      <c r="F126" s="30" t="n">
        <f aca="false">input!B6*12</f>
        <v>57600</v>
      </c>
      <c r="G126" s="30" t="n">
        <f aca="false">input!B7*12</f>
        <v>36000</v>
      </c>
      <c r="H126" s="30" t="n">
        <f aca="false">F126-G126</f>
        <v>21600</v>
      </c>
      <c r="I126" s="30" t="n">
        <f aca="false">input!B11*12+MAX(0, MIN(input!B18, H126/12)) * 12</f>
        <v>33096</v>
      </c>
      <c r="J126" s="30" t="n">
        <f aca="false">K125</f>
        <v>340879.24479952</v>
      </c>
      <c r="K126" s="30" t="n">
        <f aca="false">J126*(1+input!B14)+I126*((1+input!B14)-1)/input!B14</f>
        <v>397836.791935487</v>
      </c>
      <c r="L126" s="30" t="n">
        <f aca="false">L125+MAX(0,H126/12)</f>
        <v>25824</v>
      </c>
      <c r="M126" s="30" t="n">
        <f aca="false">calc_metrics!B4</f>
        <v>2499900</v>
      </c>
      <c r="N126" s="31" t="str">
        <f aca="false">IF(K126&gt;=M126,"TRUE","FALSE")</f>
        <v>FALSE</v>
      </c>
      <c r="O126" s="32" t="n">
        <f aca="false">IFERROR(K126/M126,0)</f>
        <v>0.159141082417491</v>
      </c>
      <c r="P126" s="31" t="str">
        <f aca="false">IF(AND(L126&gt;=0,Q126&gt;=6,K126&gt;=M126*0.25),"TRUE","FALSE")</f>
        <v>FALSE</v>
      </c>
      <c r="Q126" s="33" t="n">
        <f aca="false">IFERROR(L126/(input!B7),0)</f>
        <v>8.608</v>
      </c>
      <c r="R126" s="28" t="s">
        <v>38</v>
      </c>
    </row>
    <row r="127" customFormat="false" ht="18" hidden="false" customHeight="true" outlineLevel="0" collapsed="false">
      <c r="A127" s="28" t="s">
        <v>81</v>
      </c>
      <c r="B127" s="28" t="s">
        <v>41</v>
      </c>
      <c r="C127" s="29" t="n">
        <v>5</v>
      </c>
      <c r="D127" s="29" t="n">
        <v>5</v>
      </c>
      <c r="E127" s="29" t="n">
        <f aca="false">input!B5+5</f>
        <v>43</v>
      </c>
      <c r="F127" s="30" t="n">
        <f aca="false">input!B6*12</f>
        <v>57600</v>
      </c>
      <c r="G127" s="30" t="n">
        <f aca="false">input!B7*12</f>
        <v>36000</v>
      </c>
      <c r="H127" s="30" t="n">
        <f aca="false">F127-G127</f>
        <v>21600</v>
      </c>
      <c r="I127" s="30" t="n">
        <f aca="false">input!B11*12+MAX(0, MIN(input!B18, H127/12)) * 12</f>
        <v>33096</v>
      </c>
      <c r="J127" s="30" t="n">
        <f aca="false">K126</f>
        <v>397836.791935487</v>
      </c>
      <c r="K127" s="30" t="n">
        <f aca="false">J127*(1+input!B14)+I127*((1+input!B14)-1)/input!B14</f>
        <v>458781.367370971</v>
      </c>
      <c r="L127" s="30" t="n">
        <f aca="false">L126+MAX(0,H127/12)</f>
        <v>27624</v>
      </c>
      <c r="M127" s="30" t="n">
        <f aca="false">calc_metrics!B4</f>
        <v>2499900</v>
      </c>
      <c r="N127" s="31" t="str">
        <f aca="false">IF(K127&gt;=M127,"TRUE","FALSE")</f>
        <v>FALSE</v>
      </c>
      <c r="O127" s="32" t="n">
        <f aca="false">IFERROR(K127/M127,0)</f>
        <v>0.183519887743898</v>
      </c>
      <c r="P127" s="31" t="str">
        <f aca="false">IF(AND(L127&gt;=0,Q127&gt;=6,K127&gt;=M127*0.25),"TRUE","FALSE")</f>
        <v>FALSE</v>
      </c>
      <c r="Q127" s="33" t="n">
        <f aca="false">IFERROR(L127/(input!B7),0)</f>
        <v>9.208</v>
      </c>
      <c r="R127" s="28" t="s">
        <v>38</v>
      </c>
    </row>
    <row r="128" customFormat="false" ht="18" hidden="false" customHeight="true" outlineLevel="0" collapsed="false">
      <c r="A128" s="28" t="s">
        <v>81</v>
      </c>
      <c r="B128" s="28" t="s">
        <v>41</v>
      </c>
      <c r="C128" s="29" t="n">
        <v>6</v>
      </c>
      <c r="D128" s="29" t="n">
        <v>6</v>
      </c>
      <c r="E128" s="29" t="n">
        <f aca="false">input!B5+6</f>
        <v>44</v>
      </c>
      <c r="F128" s="30" t="n">
        <f aca="false">input!B6*12</f>
        <v>57600</v>
      </c>
      <c r="G128" s="30" t="n">
        <f aca="false">input!B7*12</f>
        <v>36000</v>
      </c>
      <c r="H128" s="30" t="n">
        <f aca="false">F128-G128</f>
        <v>21600</v>
      </c>
      <c r="I128" s="30" t="n">
        <f aca="false">input!B11*12+MAX(0, MIN(input!B18, H128/12)) * 12</f>
        <v>33096</v>
      </c>
      <c r="J128" s="30" t="n">
        <f aca="false">K127</f>
        <v>458781.367370971</v>
      </c>
      <c r="K128" s="30" t="n">
        <f aca="false">J128*(1+input!B14)+I128*((1+input!B14)-1)/input!B14</f>
        <v>523992.063086939</v>
      </c>
      <c r="L128" s="30" t="n">
        <f aca="false">L127+MAX(0,H128/12)</f>
        <v>29424</v>
      </c>
      <c r="M128" s="30" t="n">
        <f aca="false">calc_metrics!B4</f>
        <v>2499900</v>
      </c>
      <c r="N128" s="31" t="str">
        <f aca="false">IF(K128&gt;=M128,"TRUE","FALSE")</f>
        <v>FALSE</v>
      </c>
      <c r="O128" s="32" t="n">
        <f aca="false">IFERROR(K128/M128,0)</f>
        <v>0.209605209443153</v>
      </c>
      <c r="P128" s="31" t="str">
        <f aca="false">IF(AND(L128&gt;=0,Q128&gt;=6,K128&gt;=M128*0.25),"TRUE","FALSE")</f>
        <v>FALSE</v>
      </c>
      <c r="Q128" s="33" t="n">
        <f aca="false">IFERROR(L128/(input!B7),0)</f>
        <v>9.808</v>
      </c>
      <c r="R128" s="28" t="s">
        <v>38</v>
      </c>
    </row>
    <row r="129" customFormat="false" ht="18" hidden="false" customHeight="true" outlineLevel="0" collapsed="false">
      <c r="A129" s="28" t="s">
        <v>81</v>
      </c>
      <c r="B129" s="28" t="s">
        <v>41</v>
      </c>
      <c r="C129" s="29" t="n">
        <v>7</v>
      </c>
      <c r="D129" s="29" t="n">
        <v>7</v>
      </c>
      <c r="E129" s="29" t="n">
        <f aca="false">input!B5+7</f>
        <v>45</v>
      </c>
      <c r="F129" s="30" t="n">
        <f aca="false">input!B6*12</f>
        <v>57600</v>
      </c>
      <c r="G129" s="30" t="n">
        <f aca="false">input!B7*12</f>
        <v>36000</v>
      </c>
      <c r="H129" s="30" t="n">
        <f aca="false">F129-G129</f>
        <v>21600</v>
      </c>
      <c r="I129" s="30" t="n">
        <f aca="false">input!B11*12+MAX(0, MIN(input!B18, H129/12)) * 12</f>
        <v>33096</v>
      </c>
      <c r="J129" s="30" t="n">
        <f aca="false">K128</f>
        <v>523992.063086939</v>
      </c>
      <c r="K129" s="30" t="n">
        <f aca="false">J129*(1+input!B14)+I129*((1+input!B14)-1)/input!B14</f>
        <v>593767.507503024</v>
      </c>
      <c r="L129" s="30" t="n">
        <f aca="false">L128+MAX(0,H129/12)</f>
        <v>31224</v>
      </c>
      <c r="M129" s="30" t="n">
        <f aca="false">calc_metrics!B4</f>
        <v>2499900</v>
      </c>
      <c r="N129" s="31" t="str">
        <f aca="false">IF(K129&gt;=M129,"TRUE","FALSE")</f>
        <v>FALSE</v>
      </c>
      <c r="O129" s="32" t="n">
        <f aca="false">IFERROR(K129/M129,0)</f>
        <v>0.237516503661356</v>
      </c>
      <c r="P129" s="31" t="str">
        <f aca="false">IF(AND(L129&gt;=0,Q129&gt;=6,K129&gt;=M129*0.25),"TRUE","FALSE")</f>
        <v>FALSE</v>
      </c>
      <c r="Q129" s="33" t="n">
        <f aca="false">IFERROR(L129/(input!B7),0)</f>
        <v>10.408</v>
      </c>
      <c r="R129" s="28" t="s">
        <v>38</v>
      </c>
    </row>
    <row r="130" customFormat="false" ht="18" hidden="false" customHeight="true" outlineLevel="0" collapsed="false">
      <c r="A130" s="28" t="s">
        <v>81</v>
      </c>
      <c r="B130" s="28" t="s">
        <v>41</v>
      </c>
      <c r="C130" s="29" t="n">
        <v>8</v>
      </c>
      <c r="D130" s="29" t="n">
        <v>8</v>
      </c>
      <c r="E130" s="29" t="n">
        <f aca="false">input!B5+8</f>
        <v>46</v>
      </c>
      <c r="F130" s="30" t="n">
        <f aca="false">input!B6*12</f>
        <v>57600</v>
      </c>
      <c r="G130" s="30" t="n">
        <f aca="false">input!B7*12</f>
        <v>36000</v>
      </c>
      <c r="H130" s="30" t="n">
        <f aca="false">F130-G130</f>
        <v>21600</v>
      </c>
      <c r="I130" s="30" t="n">
        <f aca="false">input!B11*12+MAX(0, MIN(input!B18, H130/12)) * 12</f>
        <v>33096</v>
      </c>
      <c r="J130" s="30" t="n">
        <f aca="false">K129</f>
        <v>593767.507503024</v>
      </c>
      <c r="K130" s="30" t="n">
        <f aca="false">J130*(1+input!B14)+I130*((1+input!B14)-1)/input!B14</f>
        <v>668427.233028236</v>
      </c>
      <c r="L130" s="30" t="n">
        <f aca="false">L129+MAX(0,H130/12)</f>
        <v>33024</v>
      </c>
      <c r="M130" s="30" t="n">
        <f aca="false">calc_metrics!B4</f>
        <v>2499900</v>
      </c>
      <c r="N130" s="31" t="str">
        <f aca="false">IF(K130&gt;=M130,"TRUE","FALSE")</f>
        <v>FALSE</v>
      </c>
      <c r="O130" s="32" t="n">
        <f aca="false">IFERROR(K130/M130,0)</f>
        <v>0.267381588474833</v>
      </c>
      <c r="P130" s="31" t="str">
        <f aca="false">IF(AND(L130&gt;=0,Q130&gt;=6,K130&gt;=M130*0.25),"TRUE","FALSE")</f>
        <v>TRUE</v>
      </c>
      <c r="Q130" s="33" t="n">
        <f aca="false">IFERROR(L130/(input!B7),0)</f>
        <v>11.008</v>
      </c>
      <c r="R130" s="28" t="s">
        <v>38</v>
      </c>
    </row>
    <row r="131" customFormat="false" ht="18" hidden="false" customHeight="true" outlineLevel="0" collapsed="false">
      <c r="A131" s="28" t="s">
        <v>81</v>
      </c>
      <c r="B131" s="28" t="s">
        <v>41</v>
      </c>
      <c r="C131" s="29" t="n">
        <v>9</v>
      </c>
      <c r="D131" s="29" t="n">
        <v>9</v>
      </c>
      <c r="E131" s="29" t="n">
        <f aca="false">input!B5+9</f>
        <v>47</v>
      </c>
      <c r="F131" s="30" t="n">
        <f aca="false">input!B6*12</f>
        <v>57600</v>
      </c>
      <c r="G131" s="30" t="n">
        <f aca="false">input!B7*12</f>
        <v>36000</v>
      </c>
      <c r="H131" s="30" t="n">
        <f aca="false">F131-G131</f>
        <v>21600</v>
      </c>
      <c r="I131" s="30" t="n">
        <f aca="false">input!B11*12+MAX(0, MIN(input!B18, H131/12)) * 12</f>
        <v>33096</v>
      </c>
      <c r="J131" s="30" t="n">
        <f aca="false">K130</f>
        <v>668427.233028236</v>
      </c>
      <c r="K131" s="30" t="n">
        <f aca="false">J131*(1+input!B14)+I131*((1+input!B14)-1)/input!B14</f>
        <v>748313.139340213</v>
      </c>
      <c r="L131" s="30" t="n">
        <f aca="false">L130+MAX(0,H131/12)</f>
        <v>34824</v>
      </c>
      <c r="M131" s="30" t="n">
        <f aca="false">calc_metrics!B4</f>
        <v>2499900</v>
      </c>
      <c r="N131" s="31" t="str">
        <f aca="false">IF(K131&gt;=M131,"TRUE","FALSE")</f>
        <v>FALSE</v>
      </c>
      <c r="O131" s="32" t="n">
        <f aca="false">IFERROR(K131/M131,0)</f>
        <v>0.299337229225254</v>
      </c>
      <c r="P131" s="31" t="str">
        <f aca="false">IF(AND(L131&gt;=0,Q131&gt;=6,K131&gt;=M131*0.25),"TRUE","FALSE")</f>
        <v>TRUE</v>
      </c>
      <c r="Q131" s="33" t="n">
        <f aca="false">IFERROR(L131/(input!B7),0)</f>
        <v>11.608</v>
      </c>
      <c r="R131" s="28" t="s">
        <v>38</v>
      </c>
    </row>
    <row r="132" customFormat="false" ht="18" hidden="false" customHeight="true" outlineLevel="0" collapsed="false">
      <c r="A132" s="28" t="s">
        <v>81</v>
      </c>
      <c r="B132" s="28" t="s">
        <v>41</v>
      </c>
      <c r="C132" s="29" t="n">
        <v>10</v>
      </c>
      <c r="D132" s="29" t="n">
        <v>10</v>
      </c>
      <c r="E132" s="29" t="n">
        <f aca="false">input!B5+10</f>
        <v>48</v>
      </c>
      <c r="F132" s="30" t="n">
        <f aca="false">input!B6*12</f>
        <v>57600</v>
      </c>
      <c r="G132" s="30" t="n">
        <f aca="false">input!B7*12</f>
        <v>36000</v>
      </c>
      <c r="H132" s="30" t="n">
        <f aca="false">F132-G132</f>
        <v>21600</v>
      </c>
      <c r="I132" s="30" t="n">
        <f aca="false">input!B11*12+MAX(0, MIN(input!B18, H132/12)) * 12</f>
        <v>33096</v>
      </c>
      <c r="J132" s="30" t="n">
        <f aca="false">K131</f>
        <v>748313.139340213</v>
      </c>
      <c r="K132" s="30" t="n">
        <f aca="false">J132*(1+input!B14)+I132*((1+input!B14)-1)/input!B14</f>
        <v>833791.059094028</v>
      </c>
      <c r="L132" s="30" t="n">
        <f aca="false">L131+MAX(0,H132/12)</f>
        <v>36624</v>
      </c>
      <c r="M132" s="30" t="n">
        <f aca="false">calc_metrics!B4</f>
        <v>2499900</v>
      </c>
      <c r="N132" s="31" t="str">
        <f aca="false">IF(K132&gt;=M132,"TRUE","FALSE")</f>
        <v>FALSE</v>
      </c>
      <c r="O132" s="32" t="n">
        <f aca="false">IFERROR(K132/M132,0)</f>
        <v>0.333529764828204</v>
      </c>
      <c r="P132" s="31" t="str">
        <f aca="false">IF(AND(L132&gt;=0,Q132&gt;=6,K132&gt;=M132*0.25),"TRUE","FALSE")</f>
        <v>TRUE</v>
      </c>
      <c r="Q132" s="33" t="n">
        <f aca="false">IFERROR(L132/(input!B7),0)</f>
        <v>12.208</v>
      </c>
      <c r="R132" s="28" t="s">
        <v>38</v>
      </c>
    </row>
    <row r="133" customFormat="false" ht="18" hidden="false" customHeight="true" outlineLevel="0" collapsed="false">
      <c r="A133" s="28" t="s">
        <v>81</v>
      </c>
      <c r="B133" s="28" t="s">
        <v>41</v>
      </c>
      <c r="C133" s="29" t="n">
        <v>11</v>
      </c>
      <c r="D133" s="29" t="n">
        <v>11</v>
      </c>
      <c r="E133" s="29" t="n">
        <f aca="false">input!B5+11</f>
        <v>49</v>
      </c>
      <c r="F133" s="30" t="n">
        <f aca="false">input!B6*12</f>
        <v>57600</v>
      </c>
      <c r="G133" s="30" t="n">
        <f aca="false">input!B7*12</f>
        <v>36000</v>
      </c>
      <c r="H133" s="30" t="n">
        <f aca="false">F133-G133</f>
        <v>21600</v>
      </c>
      <c r="I133" s="30" t="n">
        <f aca="false">input!B11*12+MAX(0, MIN(input!B18, H133/12)) * 12</f>
        <v>33096</v>
      </c>
      <c r="J133" s="30" t="n">
        <f aca="false">K132</f>
        <v>833791.059094028</v>
      </c>
      <c r="K133" s="30" t="n">
        <f aca="false">J133*(1+input!B14)+I133*((1+input!B14)-1)/input!B14</f>
        <v>925252.43323061</v>
      </c>
      <c r="L133" s="30" t="n">
        <f aca="false">L132+MAX(0,H133/12)</f>
        <v>38424</v>
      </c>
      <c r="M133" s="30" t="n">
        <f aca="false">calc_metrics!B4</f>
        <v>2499900</v>
      </c>
      <c r="N133" s="31" t="str">
        <f aca="false">IF(K133&gt;=M133,"TRUE","FALSE")</f>
        <v>FALSE</v>
      </c>
      <c r="O133" s="32" t="n">
        <f aca="false">IFERROR(K133/M133,0)</f>
        <v>0.370115777923361</v>
      </c>
      <c r="P133" s="31" t="str">
        <f aca="false">IF(AND(L133&gt;=0,Q133&gt;=6,K133&gt;=M133*0.25),"TRUE","FALSE")</f>
        <v>TRUE</v>
      </c>
      <c r="Q133" s="33" t="n">
        <f aca="false">IFERROR(L133/(input!B7),0)</f>
        <v>12.808</v>
      </c>
      <c r="R133" s="28" t="s">
        <v>38</v>
      </c>
    </row>
    <row r="134" customFormat="false" ht="18" hidden="false" customHeight="true" outlineLevel="0" collapsed="false">
      <c r="A134" s="28" t="s">
        <v>81</v>
      </c>
      <c r="B134" s="28" t="s">
        <v>41</v>
      </c>
      <c r="C134" s="29" t="n">
        <v>12</v>
      </c>
      <c r="D134" s="29" t="n">
        <v>12</v>
      </c>
      <c r="E134" s="29" t="n">
        <f aca="false">input!B5+12</f>
        <v>50</v>
      </c>
      <c r="F134" s="30" t="n">
        <f aca="false">input!B6*12</f>
        <v>57600</v>
      </c>
      <c r="G134" s="30" t="n">
        <f aca="false">input!B7*12</f>
        <v>36000</v>
      </c>
      <c r="H134" s="30" t="n">
        <f aca="false">F134-G134</f>
        <v>21600</v>
      </c>
      <c r="I134" s="30" t="n">
        <f aca="false">input!B11*12+MAX(0, MIN(input!B18, H134/12)) * 12</f>
        <v>33096</v>
      </c>
      <c r="J134" s="30" t="n">
        <f aca="false">K133</f>
        <v>925252.43323061</v>
      </c>
      <c r="K134" s="30" t="n">
        <f aca="false">J134*(1+input!B14)+I134*((1+input!B14)-1)/input!B14</f>
        <v>1023116.10355675</v>
      </c>
      <c r="L134" s="30" t="n">
        <f aca="false">L133+MAX(0,H134/12)</f>
        <v>40224</v>
      </c>
      <c r="M134" s="30" t="n">
        <f aca="false">calc_metrics!B4</f>
        <v>2499900</v>
      </c>
      <c r="N134" s="31" t="str">
        <f aca="false">IF(K134&gt;=M134,"TRUE","FALSE")</f>
        <v>FALSE</v>
      </c>
      <c r="O134" s="32" t="n">
        <f aca="false">IFERROR(K134/M134,0)</f>
        <v>0.409262811935178</v>
      </c>
      <c r="P134" s="31" t="str">
        <f aca="false">IF(AND(L134&gt;=0,Q134&gt;=6,K134&gt;=M134*0.25),"TRUE","FALSE")</f>
        <v>TRUE</v>
      </c>
      <c r="Q134" s="33" t="n">
        <f aca="false">IFERROR(L134/(input!B7),0)</f>
        <v>13.408</v>
      </c>
      <c r="R134" s="28" t="s">
        <v>38</v>
      </c>
    </row>
    <row r="135" customFormat="false" ht="18" hidden="false" customHeight="true" outlineLevel="0" collapsed="false">
      <c r="A135" s="28" t="s">
        <v>81</v>
      </c>
      <c r="B135" s="28" t="s">
        <v>41</v>
      </c>
      <c r="C135" s="29" t="n">
        <v>13</v>
      </c>
      <c r="D135" s="29" t="n">
        <v>13</v>
      </c>
      <c r="E135" s="29" t="n">
        <f aca="false">input!B5+13</f>
        <v>51</v>
      </c>
      <c r="F135" s="30" t="n">
        <f aca="false">input!B6*12</f>
        <v>57600</v>
      </c>
      <c r="G135" s="30" t="n">
        <f aca="false">input!B7*12</f>
        <v>36000</v>
      </c>
      <c r="H135" s="30" t="n">
        <f aca="false">F135-G135</f>
        <v>21600</v>
      </c>
      <c r="I135" s="30" t="n">
        <f aca="false">input!B11*12+MAX(0, MIN(input!B18, H135/12)) * 12</f>
        <v>33096</v>
      </c>
      <c r="J135" s="30" t="n">
        <f aca="false">K134</f>
        <v>1023116.10355675</v>
      </c>
      <c r="K135" s="30" t="n">
        <f aca="false">J135*(1+input!B14)+I135*((1+input!B14)-1)/input!B14</f>
        <v>1127830.23080573</v>
      </c>
      <c r="L135" s="30" t="n">
        <f aca="false">L134+MAX(0,H135/12)</f>
        <v>42024</v>
      </c>
      <c r="M135" s="30" t="n">
        <f aca="false">calc_metrics!B4</f>
        <v>2499900</v>
      </c>
      <c r="N135" s="31" t="str">
        <f aca="false">IF(K135&gt;=M135,"TRUE","FALSE")</f>
        <v>FALSE</v>
      </c>
      <c r="O135" s="32" t="n">
        <f aca="false">IFERROR(K135/M135,0)</f>
        <v>0.451150138327823</v>
      </c>
      <c r="P135" s="31" t="str">
        <f aca="false">IF(AND(L135&gt;=0,Q135&gt;=6,K135&gt;=M135*0.25),"TRUE","FALSE")</f>
        <v>TRUE</v>
      </c>
      <c r="Q135" s="33" t="n">
        <f aca="false">IFERROR(L135/(input!B7),0)</f>
        <v>14.008</v>
      </c>
      <c r="R135" s="28" t="s">
        <v>38</v>
      </c>
    </row>
    <row r="136" customFormat="false" ht="18" hidden="false" customHeight="true" outlineLevel="0" collapsed="false">
      <c r="A136" s="28" t="s">
        <v>81</v>
      </c>
      <c r="B136" s="28" t="s">
        <v>41</v>
      </c>
      <c r="C136" s="29" t="n">
        <v>14</v>
      </c>
      <c r="D136" s="29" t="n">
        <v>14</v>
      </c>
      <c r="E136" s="29" t="n">
        <f aca="false">input!B5+14</f>
        <v>52</v>
      </c>
      <c r="F136" s="30" t="n">
        <f aca="false">input!B6*12</f>
        <v>57600</v>
      </c>
      <c r="G136" s="30" t="n">
        <f aca="false">input!B7*12</f>
        <v>36000</v>
      </c>
      <c r="H136" s="30" t="n">
        <f aca="false">F136-G136</f>
        <v>21600</v>
      </c>
      <c r="I136" s="30" t="n">
        <f aca="false">input!B11*12+MAX(0, MIN(input!B18, H136/12)) * 12</f>
        <v>33096</v>
      </c>
      <c r="J136" s="30" t="n">
        <f aca="false">K135</f>
        <v>1127830.23080573</v>
      </c>
      <c r="K136" s="30" t="n">
        <f aca="false">J136*(1+input!B14)+I136*((1+input!B14)-1)/input!B14</f>
        <v>1239874.34696213</v>
      </c>
      <c r="L136" s="30" t="n">
        <f aca="false">L135+MAX(0,H136/12)</f>
        <v>43824</v>
      </c>
      <c r="M136" s="30" t="n">
        <f aca="false">calc_metrics!B4</f>
        <v>2499900</v>
      </c>
      <c r="N136" s="31" t="str">
        <f aca="false">IF(K136&gt;=M136,"TRUE","FALSE")</f>
        <v>FALSE</v>
      </c>
      <c r="O136" s="32" t="n">
        <f aca="false">IFERROR(K136/M136,0)</f>
        <v>0.495969577567953</v>
      </c>
      <c r="P136" s="31" t="str">
        <f aca="false">IF(AND(L136&gt;=0,Q136&gt;=6,K136&gt;=M136*0.25),"TRUE","FALSE")</f>
        <v>TRUE</v>
      </c>
      <c r="Q136" s="33" t="n">
        <f aca="false">IFERROR(L136/(input!B7),0)</f>
        <v>14.608</v>
      </c>
      <c r="R136" s="28" t="s">
        <v>38</v>
      </c>
    </row>
    <row r="137" customFormat="false" ht="18" hidden="false" customHeight="true" outlineLevel="0" collapsed="false">
      <c r="A137" s="28" t="s">
        <v>81</v>
      </c>
      <c r="B137" s="28" t="s">
        <v>41</v>
      </c>
      <c r="C137" s="29" t="n">
        <v>15</v>
      </c>
      <c r="D137" s="29" t="n">
        <v>15</v>
      </c>
      <c r="E137" s="29" t="n">
        <f aca="false">input!B5+15</f>
        <v>53</v>
      </c>
      <c r="F137" s="30" t="n">
        <f aca="false">input!B6*12</f>
        <v>57600</v>
      </c>
      <c r="G137" s="30" t="n">
        <f aca="false">input!B7*12</f>
        <v>36000</v>
      </c>
      <c r="H137" s="30" t="n">
        <f aca="false">F137-G137</f>
        <v>21600</v>
      </c>
      <c r="I137" s="30" t="n">
        <f aca="false">input!B11*12+MAX(0, MIN(input!B18, H137/12)) * 12</f>
        <v>33096</v>
      </c>
      <c r="J137" s="30" t="n">
        <f aca="false">K136</f>
        <v>1239874.34696213</v>
      </c>
      <c r="K137" s="30" t="n">
        <f aca="false">J137*(1+input!B14)+I137*((1+input!B14)-1)/input!B14</f>
        <v>1359761.55124947</v>
      </c>
      <c r="L137" s="30" t="n">
        <f aca="false">L136+MAX(0,H137/12)</f>
        <v>45624</v>
      </c>
      <c r="M137" s="30" t="n">
        <f aca="false">calc_metrics!B4</f>
        <v>2499900</v>
      </c>
      <c r="N137" s="31" t="str">
        <f aca="false">IF(K137&gt;=M137,"TRUE","FALSE")</f>
        <v>FALSE</v>
      </c>
      <c r="O137" s="32" t="n">
        <f aca="false">IFERROR(K137/M137,0)</f>
        <v>0.543926377554892</v>
      </c>
      <c r="P137" s="31" t="str">
        <f aca="false">IF(AND(L137&gt;=0,Q137&gt;=6,K137&gt;=M137*0.25),"TRUE","FALSE")</f>
        <v>TRUE</v>
      </c>
      <c r="Q137" s="33" t="n">
        <f aca="false">IFERROR(L137/(input!B7),0)</f>
        <v>15.208</v>
      </c>
      <c r="R137" s="28" t="s">
        <v>38</v>
      </c>
    </row>
    <row r="138" customFormat="false" ht="18" hidden="false" customHeight="true" outlineLevel="0" collapsed="false">
      <c r="A138" s="28" t="s">
        <v>81</v>
      </c>
      <c r="B138" s="28" t="s">
        <v>41</v>
      </c>
      <c r="C138" s="29" t="n">
        <v>16</v>
      </c>
      <c r="D138" s="29" t="n">
        <v>16</v>
      </c>
      <c r="E138" s="29" t="n">
        <f aca="false">input!B5+16</f>
        <v>54</v>
      </c>
      <c r="F138" s="30" t="n">
        <f aca="false">input!B6*12</f>
        <v>57600</v>
      </c>
      <c r="G138" s="30" t="n">
        <f aca="false">input!B7*12</f>
        <v>36000</v>
      </c>
      <c r="H138" s="30" t="n">
        <f aca="false">F138-G138</f>
        <v>21600</v>
      </c>
      <c r="I138" s="30" t="n">
        <f aca="false">input!B11*12+MAX(0, MIN(input!B18, H138/12)) * 12</f>
        <v>33096</v>
      </c>
      <c r="J138" s="30" t="n">
        <f aca="false">K137</f>
        <v>1359761.55124947</v>
      </c>
      <c r="K138" s="30" t="n">
        <f aca="false">J138*(1+input!B14)+I138*((1+input!B14)-1)/input!B14</f>
        <v>1488040.85983694</v>
      </c>
      <c r="L138" s="30" t="n">
        <f aca="false">L137+MAX(0,H138/12)</f>
        <v>47424</v>
      </c>
      <c r="M138" s="30" t="n">
        <f aca="false">calc_metrics!B4</f>
        <v>2499900</v>
      </c>
      <c r="N138" s="31" t="str">
        <f aca="false">IF(K138&gt;=M138,"TRUE","FALSE")</f>
        <v>FALSE</v>
      </c>
      <c r="O138" s="32" t="n">
        <f aca="false">IFERROR(K138/M138,0)</f>
        <v>0.595240153540917</v>
      </c>
      <c r="P138" s="31" t="str">
        <f aca="false">IF(AND(L138&gt;=0,Q138&gt;=6,K138&gt;=M138*0.25),"TRUE","FALSE")</f>
        <v>TRUE</v>
      </c>
      <c r="Q138" s="33" t="n">
        <f aca="false">IFERROR(L138/(input!B7),0)</f>
        <v>15.808</v>
      </c>
      <c r="R138" s="28" t="s">
        <v>38</v>
      </c>
    </row>
    <row r="139" customFormat="false" ht="18" hidden="false" customHeight="true" outlineLevel="0" collapsed="false">
      <c r="A139" s="28" t="s">
        <v>81</v>
      </c>
      <c r="B139" s="28" t="s">
        <v>41</v>
      </c>
      <c r="C139" s="29" t="n">
        <v>17</v>
      </c>
      <c r="D139" s="29" t="n">
        <v>17</v>
      </c>
      <c r="E139" s="29" t="n">
        <f aca="false">input!B5+17</f>
        <v>55</v>
      </c>
      <c r="F139" s="30" t="n">
        <f aca="false">input!B6*12</f>
        <v>57600</v>
      </c>
      <c r="G139" s="30" t="n">
        <f aca="false">input!B7*12</f>
        <v>36000</v>
      </c>
      <c r="H139" s="30" t="n">
        <f aca="false">F139-G139</f>
        <v>21600</v>
      </c>
      <c r="I139" s="30" t="n">
        <f aca="false">input!B11*12+MAX(0, MIN(input!B18, H139/12)) * 12</f>
        <v>33096</v>
      </c>
      <c r="J139" s="30" t="n">
        <f aca="false">K138</f>
        <v>1488040.85983694</v>
      </c>
      <c r="K139" s="30" t="n">
        <f aca="false">J139*(1+input!B14)+I139*((1+input!B14)-1)/input!B14</f>
        <v>1625299.72002552</v>
      </c>
      <c r="L139" s="30" t="n">
        <f aca="false">L138+MAX(0,H139/12)</f>
        <v>49224</v>
      </c>
      <c r="M139" s="30" t="n">
        <f aca="false">calc_metrics!B4</f>
        <v>2499900</v>
      </c>
      <c r="N139" s="31" t="str">
        <f aca="false">IF(K139&gt;=M139,"TRUE","FALSE")</f>
        <v>FALSE</v>
      </c>
      <c r="O139" s="32" t="n">
        <f aca="false">IFERROR(K139/M139,0)</f>
        <v>0.650145893845963</v>
      </c>
      <c r="P139" s="31" t="str">
        <f aca="false">IF(AND(L139&gt;=0,Q139&gt;=6,K139&gt;=M139*0.25),"TRUE","FALSE")</f>
        <v>TRUE</v>
      </c>
      <c r="Q139" s="33" t="n">
        <f aca="false">IFERROR(L139/(input!B7),0)</f>
        <v>16.408</v>
      </c>
      <c r="R139" s="28" t="s">
        <v>38</v>
      </c>
    </row>
    <row r="140" customFormat="false" ht="18" hidden="false" customHeight="true" outlineLevel="0" collapsed="false">
      <c r="A140" s="28" t="s">
        <v>81</v>
      </c>
      <c r="B140" s="28" t="s">
        <v>41</v>
      </c>
      <c r="C140" s="29" t="n">
        <v>18</v>
      </c>
      <c r="D140" s="29" t="n">
        <v>18</v>
      </c>
      <c r="E140" s="29" t="n">
        <f aca="false">input!B5+18</f>
        <v>56</v>
      </c>
      <c r="F140" s="30" t="n">
        <f aca="false">input!B6*12</f>
        <v>57600</v>
      </c>
      <c r="G140" s="30" t="n">
        <f aca="false">input!B7*12</f>
        <v>36000</v>
      </c>
      <c r="H140" s="30" t="n">
        <f aca="false">F140-G140</f>
        <v>21600</v>
      </c>
      <c r="I140" s="30" t="n">
        <f aca="false">input!B11*12+MAX(0, MIN(input!B18, H140/12)) * 12</f>
        <v>33096</v>
      </c>
      <c r="J140" s="30" t="n">
        <f aca="false">K139</f>
        <v>1625299.72002552</v>
      </c>
      <c r="K140" s="30" t="n">
        <f aca="false">J140*(1+input!B14)+I140*((1+input!B14)-1)/input!B14</f>
        <v>1772166.70042731</v>
      </c>
      <c r="L140" s="30" t="n">
        <f aca="false">L139+MAX(0,H140/12)</f>
        <v>51024</v>
      </c>
      <c r="M140" s="30" t="n">
        <f aca="false">calc_metrics!B4</f>
        <v>2499900</v>
      </c>
      <c r="N140" s="31" t="str">
        <f aca="false">IF(K140&gt;=M140,"TRUE","FALSE")</f>
        <v>FALSE</v>
      </c>
      <c r="O140" s="32" t="n">
        <f aca="false">IFERROR(K140/M140,0)</f>
        <v>0.708895035972363</v>
      </c>
      <c r="P140" s="31" t="str">
        <f aca="false">IF(AND(L140&gt;=0,Q140&gt;=6,K140&gt;=M140*0.25),"TRUE","FALSE")</f>
        <v>TRUE</v>
      </c>
      <c r="Q140" s="33" t="n">
        <f aca="false">IFERROR(L140/(input!B7),0)</f>
        <v>17.008</v>
      </c>
      <c r="R140" s="28" t="s">
        <v>38</v>
      </c>
    </row>
    <row r="141" customFormat="false" ht="18" hidden="false" customHeight="true" outlineLevel="0" collapsed="false">
      <c r="A141" s="28" t="s">
        <v>81</v>
      </c>
      <c r="B141" s="28" t="s">
        <v>41</v>
      </c>
      <c r="C141" s="29" t="n">
        <v>19</v>
      </c>
      <c r="D141" s="29" t="n">
        <v>19</v>
      </c>
      <c r="E141" s="29" t="n">
        <f aca="false">input!B5+19</f>
        <v>57</v>
      </c>
      <c r="F141" s="30" t="n">
        <f aca="false">input!B6*12</f>
        <v>57600</v>
      </c>
      <c r="G141" s="30" t="n">
        <f aca="false">input!B7*12</f>
        <v>36000</v>
      </c>
      <c r="H141" s="30" t="n">
        <f aca="false">F141-G141</f>
        <v>21600</v>
      </c>
      <c r="I141" s="30" t="n">
        <f aca="false">input!B11*12+MAX(0, MIN(input!B18, H141/12)) * 12</f>
        <v>33096</v>
      </c>
      <c r="J141" s="30" t="n">
        <f aca="false">K140</f>
        <v>1772166.70042731</v>
      </c>
      <c r="K141" s="30" t="n">
        <f aca="false">J141*(1+input!B14)+I141*((1+input!B14)-1)/input!B14</f>
        <v>1929314.36945722</v>
      </c>
      <c r="L141" s="30" t="n">
        <f aca="false">L140+MAX(0,H141/12)</f>
        <v>52824</v>
      </c>
      <c r="M141" s="30" t="n">
        <f aca="false">calc_metrics!B4</f>
        <v>2499900</v>
      </c>
      <c r="N141" s="31" t="str">
        <f aca="false">IF(K141&gt;=M141,"TRUE","FALSE")</f>
        <v>FALSE</v>
      </c>
      <c r="O141" s="32" t="n">
        <f aca="false">IFERROR(K141/M141,0)</f>
        <v>0.771756618047611</v>
      </c>
      <c r="P141" s="31" t="str">
        <f aca="false">IF(AND(L141&gt;=0,Q141&gt;=6,K141&gt;=M141*0.25),"TRUE","FALSE")</f>
        <v>TRUE</v>
      </c>
      <c r="Q141" s="33" t="n">
        <f aca="false">IFERROR(L141/(input!B7),0)</f>
        <v>17.608</v>
      </c>
      <c r="R141" s="28" t="s">
        <v>38</v>
      </c>
    </row>
    <row r="142" customFormat="false" ht="18" hidden="false" customHeight="true" outlineLevel="0" collapsed="false">
      <c r="A142" s="28" t="s">
        <v>81</v>
      </c>
      <c r="B142" s="28" t="s">
        <v>41</v>
      </c>
      <c r="C142" s="29" t="n">
        <v>20</v>
      </c>
      <c r="D142" s="29" t="n">
        <v>20</v>
      </c>
      <c r="E142" s="29" t="n">
        <f aca="false">input!B5+20</f>
        <v>58</v>
      </c>
      <c r="F142" s="30" t="n">
        <f aca="false">input!B6*12</f>
        <v>57600</v>
      </c>
      <c r="G142" s="30" t="n">
        <f aca="false">input!B7*12</f>
        <v>36000</v>
      </c>
      <c r="H142" s="30" t="n">
        <f aca="false">F142-G142</f>
        <v>21600</v>
      </c>
      <c r="I142" s="30" t="n">
        <f aca="false">input!B11*12+MAX(0, MIN(input!B18, H142/12)) * 12</f>
        <v>33096</v>
      </c>
      <c r="J142" s="30" t="n">
        <f aca="false">K141</f>
        <v>1929314.36945722</v>
      </c>
      <c r="K142" s="30" t="n">
        <f aca="false">J142*(1+input!B14)+I142*((1+input!B14)-1)/input!B14</f>
        <v>2097462.37531923</v>
      </c>
      <c r="L142" s="30" t="n">
        <f aca="false">L141+MAX(0,H142/12)</f>
        <v>54624</v>
      </c>
      <c r="M142" s="30" t="n">
        <f aca="false">calc_metrics!B4</f>
        <v>2499900</v>
      </c>
      <c r="N142" s="31" t="str">
        <f aca="false">IF(K142&gt;=M142,"TRUE","FALSE")</f>
        <v>FALSE</v>
      </c>
      <c r="O142" s="32" t="n">
        <f aca="false">IFERROR(K142/M142,0)</f>
        <v>0.839018510868126</v>
      </c>
      <c r="P142" s="31" t="str">
        <f aca="false">IF(AND(L142&gt;=0,Q142&gt;=6,K142&gt;=M142*0.25),"TRUE","FALSE")</f>
        <v>TRUE</v>
      </c>
      <c r="Q142" s="33" t="n">
        <f aca="false">IFERROR(L142/(input!B7),0)</f>
        <v>18.208</v>
      </c>
      <c r="R142" s="28" t="s">
        <v>38</v>
      </c>
    </row>
    <row r="143" customFormat="false" ht="18" hidden="false" customHeight="true" outlineLevel="0" collapsed="false">
      <c r="A143" s="28" t="s">
        <v>81</v>
      </c>
      <c r="B143" s="28" t="s">
        <v>41</v>
      </c>
      <c r="C143" s="29" t="n">
        <v>21</v>
      </c>
      <c r="D143" s="29" t="n">
        <v>21</v>
      </c>
      <c r="E143" s="29" t="n">
        <f aca="false">input!B5+21</f>
        <v>59</v>
      </c>
      <c r="F143" s="30" t="n">
        <f aca="false">input!B6*12</f>
        <v>57600</v>
      </c>
      <c r="G143" s="30" t="n">
        <f aca="false">input!B7*12</f>
        <v>36000</v>
      </c>
      <c r="H143" s="30" t="n">
        <f aca="false">F143-G143</f>
        <v>21600</v>
      </c>
      <c r="I143" s="30" t="n">
        <f aca="false">input!B11*12+MAX(0, MIN(input!B18, H143/12)) * 12</f>
        <v>33096</v>
      </c>
      <c r="J143" s="30" t="n">
        <f aca="false">K142</f>
        <v>2097462.37531923</v>
      </c>
      <c r="K143" s="30" t="n">
        <f aca="false">J143*(1+input!B14)+I143*((1+input!B14)-1)/input!B14</f>
        <v>2277380.74159157</v>
      </c>
      <c r="L143" s="30" t="n">
        <f aca="false">L142+MAX(0,H143/12)</f>
        <v>56424</v>
      </c>
      <c r="M143" s="30" t="n">
        <f aca="false">calc_metrics!B4</f>
        <v>2499900</v>
      </c>
      <c r="N143" s="31" t="str">
        <f aca="false">IF(K143&gt;=M143,"TRUE","FALSE")</f>
        <v>FALSE</v>
      </c>
      <c r="O143" s="32" t="n">
        <f aca="false">IFERROR(K143/M143,0)</f>
        <v>0.910988736186077</v>
      </c>
      <c r="P143" s="31" t="str">
        <f aca="false">IF(AND(L143&gt;=0,Q143&gt;=6,K143&gt;=M143*0.25),"TRUE","FALSE")</f>
        <v>TRUE</v>
      </c>
      <c r="Q143" s="33" t="n">
        <f aca="false">IFERROR(L143/(input!B7),0)</f>
        <v>18.808</v>
      </c>
      <c r="R143" s="28" t="s">
        <v>38</v>
      </c>
    </row>
    <row r="144" customFormat="false" ht="18" hidden="false" customHeight="true" outlineLevel="0" collapsed="false">
      <c r="A144" s="28" t="s">
        <v>81</v>
      </c>
      <c r="B144" s="28" t="s">
        <v>41</v>
      </c>
      <c r="C144" s="29" t="n">
        <v>22</v>
      </c>
      <c r="D144" s="29" t="n">
        <v>22</v>
      </c>
      <c r="E144" s="29" t="n">
        <f aca="false">input!B5+22</f>
        <v>60</v>
      </c>
      <c r="F144" s="30" t="n">
        <f aca="false">input!B6*12</f>
        <v>57600</v>
      </c>
      <c r="G144" s="30" t="n">
        <f aca="false">input!B7*12</f>
        <v>36000</v>
      </c>
      <c r="H144" s="30" t="n">
        <f aca="false">F144-G144</f>
        <v>21600</v>
      </c>
      <c r="I144" s="30" t="n">
        <f aca="false">input!B11*12+MAX(0, MIN(input!B18, H144/12)) * 12</f>
        <v>33096</v>
      </c>
      <c r="J144" s="30" t="n">
        <f aca="false">K143</f>
        <v>2277380.74159157</v>
      </c>
      <c r="K144" s="30" t="n">
        <f aca="false">J144*(1+input!B14)+I144*((1+input!B14)-1)/input!B14</f>
        <v>2469893.39350298</v>
      </c>
      <c r="L144" s="30" t="n">
        <f aca="false">L143+MAX(0,H144/12)</f>
        <v>58224</v>
      </c>
      <c r="M144" s="30" t="n">
        <f aca="false">calc_metrics!B4</f>
        <v>2499900</v>
      </c>
      <c r="N144" s="31" t="str">
        <f aca="false">IF(K144&gt;=M144,"TRUE","FALSE")</f>
        <v>FALSE</v>
      </c>
      <c r="O144" s="32" t="n">
        <f aca="false">IFERROR(K144/M144,0)</f>
        <v>0.987996877276285</v>
      </c>
      <c r="P144" s="31" t="str">
        <f aca="false">IF(AND(L144&gt;=0,Q144&gt;=6,K144&gt;=M144*0.25),"TRUE","FALSE")</f>
        <v>TRUE</v>
      </c>
      <c r="Q144" s="33" t="n">
        <f aca="false">IFERROR(L144/(input!B7),0)</f>
        <v>19.408</v>
      </c>
      <c r="R144" s="28" t="s">
        <v>38</v>
      </c>
    </row>
    <row r="145" customFormat="false" ht="18" hidden="false" customHeight="true" outlineLevel="0" collapsed="false">
      <c r="A145" s="28" t="s">
        <v>81</v>
      </c>
      <c r="B145" s="28" t="s">
        <v>41</v>
      </c>
      <c r="C145" s="29" t="n">
        <v>23</v>
      </c>
      <c r="D145" s="29" t="n">
        <v>23</v>
      </c>
      <c r="E145" s="29" t="n">
        <f aca="false">input!B5+23</f>
        <v>61</v>
      </c>
      <c r="F145" s="30" t="n">
        <f aca="false">input!B6*12</f>
        <v>57600</v>
      </c>
      <c r="G145" s="30" t="n">
        <f aca="false">input!B7*12</f>
        <v>36000</v>
      </c>
      <c r="H145" s="30" t="n">
        <f aca="false">F145-G145</f>
        <v>21600</v>
      </c>
      <c r="I145" s="30" t="n">
        <f aca="false">input!B11*12+MAX(0, MIN(input!B18, H145/12)) * 12</f>
        <v>33096</v>
      </c>
      <c r="J145" s="30" t="n">
        <f aca="false">K144</f>
        <v>2469893.39350298</v>
      </c>
      <c r="K145" s="30" t="n">
        <f aca="false">J145*(1+input!B14)+I145*((1+input!B14)-1)/input!B14</f>
        <v>2675881.93104819</v>
      </c>
      <c r="L145" s="30" t="n">
        <f aca="false">L144+MAX(0,H145/12)</f>
        <v>60024</v>
      </c>
      <c r="M145" s="30" t="n">
        <f aca="false">calc_metrics!B4</f>
        <v>2499900</v>
      </c>
      <c r="N145" s="31" t="str">
        <f aca="false">IF(K145&gt;=M145,"TRUE","FALSE")</f>
        <v>TRUE</v>
      </c>
      <c r="O145" s="32" t="n">
        <f aca="false">IFERROR(K145/M145,0)</f>
        <v>1.07039558824281</v>
      </c>
      <c r="P145" s="31" t="str">
        <f aca="false">IF(AND(L145&gt;=0,Q145&gt;=6,K145&gt;=M145*0.25),"TRUE","FALSE")</f>
        <v>TRUE</v>
      </c>
      <c r="Q145" s="33" t="n">
        <f aca="false">IFERROR(L145/(input!B7),0)</f>
        <v>20.008</v>
      </c>
      <c r="R145" s="28" t="s">
        <v>38</v>
      </c>
    </row>
    <row r="146" customFormat="false" ht="18" hidden="false" customHeight="true" outlineLevel="0" collapsed="false">
      <c r="A146" s="28" t="s">
        <v>81</v>
      </c>
      <c r="B146" s="28" t="s">
        <v>41</v>
      </c>
      <c r="C146" s="29" t="n">
        <v>24</v>
      </c>
      <c r="D146" s="29" t="n">
        <v>24</v>
      </c>
      <c r="E146" s="29" t="n">
        <f aca="false">input!B5+24</f>
        <v>62</v>
      </c>
      <c r="F146" s="30" t="n">
        <f aca="false">input!B6*12</f>
        <v>57600</v>
      </c>
      <c r="G146" s="30" t="n">
        <f aca="false">input!B7*12</f>
        <v>36000</v>
      </c>
      <c r="H146" s="30" t="n">
        <f aca="false">F146-G146</f>
        <v>21600</v>
      </c>
      <c r="I146" s="30" t="n">
        <f aca="false">input!B11*12+MAX(0, MIN(input!B18, H146/12)) * 12</f>
        <v>33096</v>
      </c>
      <c r="J146" s="30" t="n">
        <f aca="false">K145</f>
        <v>2675881.93104819</v>
      </c>
      <c r="K146" s="30" t="n">
        <f aca="false">J146*(1+input!B14)+I146*((1+input!B14)-1)/input!B14</f>
        <v>2896289.66622157</v>
      </c>
      <c r="L146" s="30" t="n">
        <f aca="false">L145+MAX(0,H146/12)</f>
        <v>61824</v>
      </c>
      <c r="M146" s="30" t="n">
        <f aca="false">calc_metrics!B4</f>
        <v>2499900</v>
      </c>
      <c r="N146" s="31" t="str">
        <f aca="false">IF(K146&gt;=M146,"TRUE","FALSE")</f>
        <v>TRUE</v>
      </c>
      <c r="O146" s="32" t="n">
        <f aca="false">IFERROR(K146/M146,0)</f>
        <v>1.15856220897699</v>
      </c>
      <c r="P146" s="31" t="str">
        <f aca="false">IF(AND(L146&gt;=0,Q146&gt;=6,K146&gt;=M146*0.25),"TRUE","FALSE")</f>
        <v>TRUE</v>
      </c>
      <c r="Q146" s="33" t="n">
        <f aca="false">IFERROR(L146/(input!B7),0)</f>
        <v>20.608</v>
      </c>
      <c r="R146" s="28" t="s">
        <v>38</v>
      </c>
    </row>
    <row r="147" customFormat="false" ht="18" hidden="false" customHeight="true" outlineLevel="0" collapsed="false">
      <c r="A147" s="28" t="s">
        <v>81</v>
      </c>
      <c r="B147" s="28" t="s">
        <v>41</v>
      </c>
      <c r="C147" s="29" t="n">
        <v>25</v>
      </c>
      <c r="D147" s="29" t="n">
        <v>25</v>
      </c>
      <c r="E147" s="29" t="n">
        <f aca="false">input!B5+25</f>
        <v>63</v>
      </c>
      <c r="F147" s="30" t="n">
        <f aca="false">input!B6*12</f>
        <v>57600</v>
      </c>
      <c r="G147" s="30" t="n">
        <f aca="false">input!B7*12</f>
        <v>36000</v>
      </c>
      <c r="H147" s="30" t="n">
        <f aca="false">F147-G147</f>
        <v>21600</v>
      </c>
      <c r="I147" s="30" t="n">
        <f aca="false">input!B11*12+MAX(0, MIN(input!B18, H147/12)) * 12</f>
        <v>33096</v>
      </c>
      <c r="J147" s="30" t="n">
        <f aca="false">K146</f>
        <v>2896289.66622157</v>
      </c>
      <c r="K147" s="30" t="n">
        <f aca="false">J147*(1+input!B14)+I147*((1+input!B14)-1)/input!B14</f>
        <v>3132125.94285708</v>
      </c>
      <c r="L147" s="30" t="n">
        <f aca="false">L146+MAX(0,H147/12)</f>
        <v>63624</v>
      </c>
      <c r="M147" s="30" t="n">
        <f aca="false">calc_metrics!B4</f>
        <v>2499900</v>
      </c>
      <c r="N147" s="31" t="str">
        <f aca="false">IF(K147&gt;=M147,"TRUE","FALSE")</f>
        <v>TRUE</v>
      </c>
      <c r="O147" s="32" t="n">
        <f aca="false">IFERROR(K147/M147,0)</f>
        <v>1.25290049316256</v>
      </c>
      <c r="P147" s="31" t="str">
        <f aca="false">IF(AND(L147&gt;=0,Q147&gt;=6,K147&gt;=M147*0.25),"TRUE","FALSE")</f>
        <v>TRUE</v>
      </c>
      <c r="Q147" s="33" t="n">
        <f aca="false">IFERROR(L147/(input!B7),0)</f>
        <v>21.208</v>
      </c>
      <c r="R147" s="28" t="s">
        <v>38</v>
      </c>
    </row>
    <row r="148" customFormat="false" ht="18" hidden="false" customHeight="true" outlineLevel="0" collapsed="false">
      <c r="A148" s="28" t="s">
        <v>81</v>
      </c>
      <c r="B148" s="28" t="s">
        <v>41</v>
      </c>
      <c r="C148" s="29" t="n">
        <v>26</v>
      </c>
      <c r="D148" s="29" t="n">
        <v>26</v>
      </c>
      <c r="E148" s="29" t="n">
        <f aca="false">input!B5+26</f>
        <v>64</v>
      </c>
      <c r="F148" s="30" t="n">
        <f aca="false">input!B6*12</f>
        <v>57600</v>
      </c>
      <c r="G148" s="30" t="n">
        <f aca="false">input!B7*12</f>
        <v>36000</v>
      </c>
      <c r="H148" s="30" t="n">
        <f aca="false">F148-G148</f>
        <v>21600</v>
      </c>
      <c r="I148" s="30" t="n">
        <f aca="false">input!B11*12+MAX(0, MIN(input!B18, H148/12)) * 12</f>
        <v>33096</v>
      </c>
      <c r="J148" s="30" t="n">
        <f aca="false">K147</f>
        <v>3132125.94285708</v>
      </c>
      <c r="K148" s="30" t="n">
        <f aca="false">J148*(1+input!B14)+I148*((1+input!B14)-1)/input!B14</f>
        <v>3384470.75885707</v>
      </c>
      <c r="L148" s="30" t="n">
        <f aca="false">L147+MAX(0,H148/12)</f>
        <v>65424</v>
      </c>
      <c r="M148" s="30" t="n">
        <f aca="false">calc_metrics!B4</f>
        <v>2499900</v>
      </c>
      <c r="N148" s="31" t="str">
        <f aca="false">IF(K148&gt;=M148,"TRUE","FALSE")</f>
        <v>TRUE</v>
      </c>
      <c r="O148" s="32" t="n">
        <f aca="false">IFERROR(K148/M148,0)</f>
        <v>1.35384245724112</v>
      </c>
      <c r="P148" s="31" t="str">
        <f aca="false">IF(AND(L148&gt;=0,Q148&gt;=6,K148&gt;=M148*0.25),"TRUE","FALSE")</f>
        <v>TRUE</v>
      </c>
      <c r="Q148" s="33" t="n">
        <f aca="false">IFERROR(L148/(input!B7),0)</f>
        <v>21.808</v>
      </c>
      <c r="R148" s="28" t="s">
        <v>38</v>
      </c>
    </row>
    <row r="149" customFormat="false" ht="18" hidden="false" customHeight="true" outlineLevel="0" collapsed="false">
      <c r="A149" s="28" t="s">
        <v>81</v>
      </c>
      <c r="B149" s="28" t="s">
        <v>41</v>
      </c>
      <c r="C149" s="29" t="n">
        <v>27</v>
      </c>
      <c r="D149" s="29" t="n">
        <v>27</v>
      </c>
      <c r="E149" s="29" t="n">
        <f aca="false">input!B5+27</f>
        <v>65</v>
      </c>
      <c r="F149" s="30" t="n">
        <f aca="false">input!B6*12</f>
        <v>57600</v>
      </c>
      <c r="G149" s="30" t="n">
        <f aca="false">input!B7*12</f>
        <v>36000</v>
      </c>
      <c r="H149" s="30" t="n">
        <f aca="false">F149-G149</f>
        <v>21600</v>
      </c>
      <c r="I149" s="30" t="n">
        <f aca="false">input!B11*12+MAX(0, MIN(input!B18, H149/12)) * 12</f>
        <v>33096</v>
      </c>
      <c r="J149" s="30" t="n">
        <f aca="false">K148</f>
        <v>3384470.75885707</v>
      </c>
      <c r="K149" s="30" t="n">
        <f aca="false">J149*(1+input!B14)+I149*((1+input!B14)-1)/input!B14</f>
        <v>3654479.71197707</v>
      </c>
      <c r="L149" s="30" t="n">
        <f aca="false">L148+MAX(0,H149/12)</f>
        <v>67224</v>
      </c>
      <c r="M149" s="30" t="n">
        <f aca="false">calc_metrics!B4</f>
        <v>2499900</v>
      </c>
      <c r="N149" s="31" t="str">
        <f aca="false">IF(K149&gt;=M149,"TRUE","FALSE")</f>
        <v>TRUE</v>
      </c>
      <c r="O149" s="32" t="n">
        <f aca="false">IFERROR(K149/M149,0)</f>
        <v>1.46185035880518</v>
      </c>
      <c r="P149" s="31" t="str">
        <f aca="false">IF(AND(L149&gt;=0,Q149&gt;=6,K149&gt;=M149*0.25),"TRUE","FALSE")</f>
        <v>TRUE</v>
      </c>
      <c r="Q149" s="33" t="n">
        <f aca="false">IFERROR(L149/(input!B7),0)</f>
        <v>22.408</v>
      </c>
      <c r="R149" s="28" t="s">
        <v>38</v>
      </c>
    </row>
    <row r="150" customFormat="false" ht="18" hidden="false" customHeight="true" outlineLevel="0" collapsed="false">
      <c r="A150" s="28" t="s">
        <v>81</v>
      </c>
      <c r="B150" s="28" t="s">
        <v>41</v>
      </c>
      <c r="C150" s="29" t="n">
        <v>28</v>
      </c>
      <c r="D150" s="29" t="n">
        <v>28</v>
      </c>
      <c r="E150" s="29" t="n">
        <f aca="false">input!B5+28</f>
        <v>66</v>
      </c>
      <c r="F150" s="30" t="n">
        <f aca="false">input!B6*12</f>
        <v>57600</v>
      </c>
      <c r="G150" s="30" t="n">
        <f aca="false">input!B7*12</f>
        <v>36000</v>
      </c>
      <c r="H150" s="30" t="n">
        <f aca="false">F150-G150</f>
        <v>21600</v>
      </c>
      <c r="I150" s="30" t="n">
        <f aca="false">input!B11*12+MAX(0, MIN(input!B18, H150/12)) * 12</f>
        <v>33096</v>
      </c>
      <c r="J150" s="30" t="n">
        <f aca="false">K149</f>
        <v>3654479.71197707</v>
      </c>
      <c r="K150" s="30" t="n">
        <f aca="false">J150*(1+input!B14)+I150*((1+input!B14)-1)/input!B14</f>
        <v>3943389.29181546</v>
      </c>
      <c r="L150" s="30" t="n">
        <f aca="false">L149+MAX(0,H150/12)</f>
        <v>69024</v>
      </c>
      <c r="M150" s="30" t="n">
        <f aca="false">calc_metrics!B4</f>
        <v>2499900</v>
      </c>
      <c r="N150" s="31" t="str">
        <f aca="false">IF(K150&gt;=M150,"TRUE","FALSE")</f>
        <v>TRUE</v>
      </c>
      <c r="O150" s="32" t="n">
        <f aca="false">IFERROR(K150/M150,0)</f>
        <v>1.57741881347872</v>
      </c>
      <c r="P150" s="31" t="str">
        <f aca="false">IF(AND(L150&gt;=0,Q150&gt;=6,K150&gt;=M150*0.25),"TRUE","FALSE")</f>
        <v>TRUE</v>
      </c>
      <c r="Q150" s="33" t="n">
        <f aca="false">IFERROR(L150/(input!B7),0)</f>
        <v>23.008</v>
      </c>
      <c r="R150" s="28" t="s">
        <v>38</v>
      </c>
    </row>
    <row r="151" customFormat="false" ht="18" hidden="false" customHeight="true" outlineLevel="0" collapsed="false">
      <c r="A151" s="28" t="s">
        <v>81</v>
      </c>
      <c r="B151" s="28" t="s">
        <v>41</v>
      </c>
      <c r="C151" s="29" t="n">
        <v>29</v>
      </c>
      <c r="D151" s="29" t="n">
        <v>29</v>
      </c>
      <c r="E151" s="29" t="n">
        <f aca="false">input!B5+29</f>
        <v>67</v>
      </c>
      <c r="F151" s="30" t="n">
        <f aca="false">input!B6*12</f>
        <v>57600</v>
      </c>
      <c r="G151" s="30" t="n">
        <f aca="false">input!B7*12</f>
        <v>36000</v>
      </c>
      <c r="H151" s="30" t="n">
        <f aca="false">F151-G151</f>
        <v>21600</v>
      </c>
      <c r="I151" s="30" t="n">
        <f aca="false">input!B11*12+MAX(0, MIN(input!B18, H151/12)) * 12</f>
        <v>33096</v>
      </c>
      <c r="J151" s="30" t="n">
        <f aca="false">K150</f>
        <v>3943389.29181546</v>
      </c>
      <c r="K151" s="30" t="n">
        <f aca="false">J151*(1+input!B14)+I151*((1+input!B14)-1)/input!B14</f>
        <v>4252522.54224255</v>
      </c>
      <c r="L151" s="30" t="n">
        <f aca="false">L150+MAX(0,H151/12)</f>
        <v>70824</v>
      </c>
      <c r="M151" s="30" t="n">
        <f aca="false">calc_metrics!B4</f>
        <v>2499900</v>
      </c>
      <c r="N151" s="31" t="str">
        <f aca="false">IF(K151&gt;=M151,"TRUE","FALSE")</f>
        <v>TRUE</v>
      </c>
      <c r="O151" s="32" t="n">
        <f aca="false">IFERROR(K151/M151,0)</f>
        <v>1.70107705997942</v>
      </c>
      <c r="P151" s="31" t="str">
        <f aca="false">IF(AND(L151&gt;=0,Q151&gt;=6,K151&gt;=M151*0.25),"TRUE","FALSE")</f>
        <v>TRUE</v>
      </c>
      <c r="Q151" s="33" t="n">
        <f aca="false">IFERROR(L151/(input!B7),0)</f>
        <v>23.608</v>
      </c>
      <c r="R151" s="28" t="s">
        <v>38</v>
      </c>
    </row>
    <row r="152" customFormat="false" ht="18" hidden="false" customHeight="true" outlineLevel="0" collapsed="false">
      <c r="A152" s="28" t="s">
        <v>81</v>
      </c>
      <c r="B152" s="28" t="s">
        <v>41</v>
      </c>
      <c r="C152" s="29" t="n">
        <v>30</v>
      </c>
      <c r="D152" s="29" t="n">
        <v>30</v>
      </c>
      <c r="E152" s="29" t="n">
        <f aca="false">input!B5+30</f>
        <v>68</v>
      </c>
      <c r="F152" s="30" t="n">
        <f aca="false">input!B6*12</f>
        <v>57600</v>
      </c>
      <c r="G152" s="30" t="n">
        <f aca="false">input!B7*12</f>
        <v>36000</v>
      </c>
      <c r="H152" s="30" t="n">
        <f aca="false">F152-G152</f>
        <v>21600</v>
      </c>
      <c r="I152" s="30" t="n">
        <f aca="false">input!B11*12+MAX(0, MIN(input!B18, H152/12)) * 12</f>
        <v>33096</v>
      </c>
      <c r="J152" s="30" t="n">
        <f aca="false">K151</f>
        <v>4252522.54224255</v>
      </c>
      <c r="K152" s="30" t="n">
        <f aca="false">J152*(1+input!B14)+I152*((1+input!B14)-1)/input!B14</f>
        <v>4583295.12019953</v>
      </c>
      <c r="L152" s="30" t="n">
        <f aca="false">L151+MAX(0,H152/12)</f>
        <v>72624</v>
      </c>
      <c r="M152" s="30" t="n">
        <f aca="false">calc_metrics!B4</f>
        <v>2499900</v>
      </c>
      <c r="N152" s="31" t="str">
        <f aca="false">IF(K152&gt;=M152,"TRUE","FALSE")</f>
        <v>TRUE</v>
      </c>
      <c r="O152" s="32" t="n">
        <f aca="false">IFERROR(K152/M152,0)</f>
        <v>1.83339138373516</v>
      </c>
      <c r="P152" s="31" t="str">
        <f aca="false">IF(AND(L152&gt;=0,Q152&gt;=6,K152&gt;=M152*0.25),"TRUE","FALSE")</f>
        <v>TRUE</v>
      </c>
      <c r="Q152" s="33" t="n">
        <f aca="false">IFERROR(L152/(input!B7),0)</f>
        <v>24.208</v>
      </c>
      <c r="R152" s="28" t="s">
        <v>38</v>
      </c>
    </row>
    <row r="153" customFormat="false" ht="18" hidden="false" customHeight="true" outlineLevel="0" collapsed="false">
      <c r="A153" s="28" t="s">
        <v>81</v>
      </c>
      <c r="B153" s="28" t="s">
        <v>41</v>
      </c>
      <c r="C153" s="29" t="n">
        <v>31</v>
      </c>
      <c r="D153" s="29" t="n">
        <v>31</v>
      </c>
      <c r="E153" s="29" t="n">
        <f aca="false">input!B5+31</f>
        <v>69</v>
      </c>
      <c r="F153" s="30" t="n">
        <f aca="false">input!B6*12</f>
        <v>57600</v>
      </c>
      <c r="G153" s="30" t="n">
        <f aca="false">input!B7*12</f>
        <v>36000</v>
      </c>
      <c r="H153" s="30" t="n">
        <f aca="false">F153-G153</f>
        <v>21600</v>
      </c>
      <c r="I153" s="30" t="n">
        <f aca="false">input!B11*12+MAX(0, MIN(input!B18, H153/12)) * 12</f>
        <v>33096</v>
      </c>
      <c r="J153" s="30" t="n">
        <f aca="false">K152</f>
        <v>4583295.12019953</v>
      </c>
      <c r="K153" s="30" t="n">
        <f aca="false">J153*(1+input!B14)+I153*((1+input!B14)-1)/input!B14</f>
        <v>4937221.77861349</v>
      </c>
      <c r="L153" s="30" t="n">
        <f aca="false">L152+MAX(0,H153/12)</f>
        <v>74424</v>
      </c>
      <c r="M153" s="30" t="n">
        <f aca="false">calc_metrics!B4</f>
        <v>2499900</v>
      </c>
      <c r="N153" s="31" t="str">
        <f aca="false">IF(K153&gt;=M153,"TRUE","FALSE")</f>
        <v>TRUE</v>
      </c>
      <c r="O153" s="32" t="n">
        <f aca="false">IFERROR(K153/M153,0)</f>
        <v>1.9749677101538</v>
      </c>
      <c r="P153" s="31" t="str">
        <f aca="false">IF(AND(L153&gt;=0,Q153&gt;=6,K153&gt;=M153*0.25),"TRUE","FALSE")</f>
        <v>TRUE</v>
      </c>
      <c r="Q153" s="33" t="n">
        <f aca="false">IFERROR(L153/(input!B7),0)</f>
        <v>24.808</v>
      </c>
      <c r="R153" s="28" t="s">
        <v>38</v>
      </c>
    </row>
    <row r="154" customFormat="false" ht="18" hidden="false" customHeight="true" outlineLevel="0" collapsed="false">
      <c r="A154" s="28" t="s">
        <v>81</v>
      </c>
      <c r="B154" s="28" t="s">
        <v>41</v>
      </c>
      <c r="C154" s="29" t="n">
        <v>32</v>
      </c>
      <c r="D154" s="29" t="n">
        <v>32</v>
      </c>
      <c r="E154" s="29" t="n">
        <f aca="false">input!B5+32</f>
        <v>70</v>
      </c>
      <c r="F154" s="30" t="n">
        <f aca="false">input!B6*12</f>
        <v>57600</v>
      </c>
      <c r="G154" s="30" t="n">
        <f aca="false">input!B7*12</f>
        <v>36000</v>
      </c>
      <c r="H154" s="30" t="n">
        <f aca="false">F154-G154</f>
        <v>21600</v>
      </c>
      <c r="I154" s="30" t="n">
        <f aca="false">input!B11*12+MAX(0, MIN(input!B18, H154/12)) * 12</f>
        <v>33096</v>
      </c>
      <c r="J154" s="30" t="n">
        <f aca="false">K153</f>
        <v>4937221.77861349</v>
      </c>
      <c r="K154" s="30" t="n">
        <f aca="false">J154*(1+input!B14)+I154*((1+input!B14)-1)/input!B14</f>
        <v>5315923.30311644</v>
      </c>
      <c r="L154" s="30" t="n">
        <f aca="false">L153+MAX(0,H154/12)</f>
        <v>76224</v>
      </c>
      <c r="M154" s="30" t="n">
        <f aca="false">calc_metrics!B4</f>
        <v>2499900</v>
      </c>
      <c r="N154" s="31" t="str">
        <f aca="false">IF(K154&gt;=M154,"TRUE","FALSE")</f>
        <v>TRUE</v>
      </c>
      <c r="O154" s="32" t="n">
        <f aca="false">IFERROR(K154/M154,0)</f>
        <v>2.12645437942175</v>
      </c>
      <c r="P154" s="31" t="str">
        <f aca="false">IF(AND(L154&gt;=0,Q154&gt;=6,K154&gt;=M154*0.25),"TRUE","FALSE")</f>
        <v>TRUE</v>
      </c>
      <c r="Q154" s="33" t="n">
        <f aca="false">IFERROR(L154/(input!B7),0)</f>
        <v>25.408</v>
      </c>
      <c r="R154" s="28" t="s">
        <v>38</v>
      </c>
    </row>
    <row r="155" customFormat="false" ht="18" hidden="false" customHeight="true" outlineLevel="0" collapsed="false">
      <c r="A155" s="28" t="s">
        <v>81</v>
      </c>
      <c r="B155" s="28" t="s">
        <v>41</v>
      </c>
      <c r="C155" s="29" t="n">
        <v>33</v>
      </c>
      <c r="D155" s="29" t="n">
        <v>33</v>
      </c>
      <c r="E155" s="29" t="n">
        <f aca="false">input!B5+33</f>
        <v>71</v>
      </c>
      <c r="F155" s="30" t="n">
        <f aca="false">input!B6*12</f>
        <v>57600</v>
      </c>
      <c r="G155" s="30" t="n">
        <f aca="false">input!B7*12</f>
        <v>36000</v>
      </c>
      <c r="H155" s="30" t="n">
        <f aca="false">F155-G155</f>
        <v>21600</v>
      </c>
      <c r="I155" s="30" t="n">
        <f aca="false">input!B11*12+MAX(0, MIN(input!B18, H155/12)) * 12</f>
        <v>33096</v>
      </c>
      <c r="J155" s="30" t="n">
        <f aca="false">K154</f>
        <v>5315923.30311644</v>
      </c>
      <c r="K155" s="30" t="n">
        <f aca="false">J155*(1+input!B14)+I155*((1+input!B14)-1)/input!B14</f>
        <v>5721133.93433459</v>
      </c>
      <c r="L155" s="30" t="n">
        <f aca="false">L154+MAX(0,H155/12)</f>
        <v>78024</v>
      </c>
      <c r="M155" s="30" t="n">
        <f aca="false">calc_metrics!B4</f>
        <v>2499900</v>
      </c>
      <c r="N155" s="31" t="str">
        <f aca="false">IF(K155&gt;=M155,"TRUE","FALSE")</f>
        <v>TRUE</v>
      </c>
      <c r="O155" s="32" t="n">
        <f aca="false">IFERROR(K155/M155,0)</f>
        <v>2.28854511553846</v>
      </c>
      <c r="P155" s="31" t="str">
        <f aca="false">IF(AND(L155&gt;=0,Q155&gt;=6,K155&gt;=M155*0.25),"TRUE","FALSE")</f>
        <v>TRUE</v>
      </c>
      <c r="Q155" s="33" t="n">
        <f aca="false">IFERROR(L155/(input!B7),0)</f>
        <v>26.008</v>
      </c>
      <c r="R155" s="28" t="s">
        <v>38</v>
      </c>
    </row>
    <row r="156" customFormat="false" ht="18" hidden="false" customHeight="true" outlineLevel="0" collapsed="false">
      <c r="A156" s="28" t="s">
        <v>81</v>
      </c>
      <c r="B156" s="28" t="s">
        <v>41</v>
      </c>
      <c r="C156" s="29" t="n">
        <v>34</v>
      </c>
      <c r="D156" s="29" t="n">
        <v>34</v>
      </c>
      <c r="E156" s="29" t="n">
        <f aca="false">input!B5+34</f>
        <v>72</v>
      </c>
      <c r="F156" s="30" t="n">
        <f aca="false">input!B6*12</f>
        <v>57600</v>
      </c>
      <c r="G156" s="30" t="n">
        <f aca="false">input!B7*12</f>
        <v>36000</v>
      </c>
      <c r="H156" s="30" t="n">
        <f aca="false">F156-G156</f>
        <v>21600</v>
      </c>
      <c r="I156" s="30" t="n">
        <f aca="false">input!B11*12+MAX(0, MIN(input!B18, H156/12)) * 12</f>
        <v>33096</v>
      </c>
      <c r="J156" s="30" t="n">
        <f aca="false">K155</f>
        <v>5721133.93433459</v>
      </c>
      <c r="K156" s="30" t="n">
        <f aca="false">J156*(1+input!B14)+I156*((1+input!B14)-1)/input!B14</f>
        <v>6154709.30973801</v>
      </c>
      <c r="L156" s="30" t="n">
        <f aca="false">L155+MAX(0,H156/12)</f>
        <v>79824</v>
      </c>
      <c r="M156" s="30" t="n">
        <f aca="false">calc_metrics!B4</f>
        <v>2499900</v>
      </c>
      <c r="N156" s="31" t="str">
        <f aca="false">IF(K156&gt;=M156,"TRUE","FALSE")</f>
        <v>TRUE</v>
      </c>
      <c r="O156" s="32" t="n">
        <f aca="false">IFERROR(K156/M156,0)</f>
        <v>2.46198220318333</v>
      </c>
      <c r="P156" s="31" t="str">
        <f aca="false">IF(AND(L156&gt;=0,Q156&gt;=6,K156&gt;=M156*0.25),"TRUE","FALSE")</f>
        <v>TRUE</v>
      </c>
      <c r="Q156" s="33" t="n">
        <f aca="false">IFERROR(L156/(input!B7),0)</f>
        <v>26.608</v>
      </c>
      <c r="R156" s="28" t="s">
        <v>38</v>
      </c>
    </row>
    <row r="157" customFormat="false" ht="18" hidden="false" customHeight="true" outlineLevel="0" collapsed="false">
      <c r="A157" s="28" t="s">
        <v>81</v>
      </c>
      <c r="B157" s="28" t="s">
        <v>41</v>
      </c>
      <c r="C157" s="29" t="n">
        <v>35</v>
      </c>
      <c r="D157" s="29" t="n">
        <v>35</v>
      </c>
      <c r="E157" s="29" t="n">
        <f aca="false">input!B5+35</f>
        <v>73</v>
      </c>
      <c r="F157" s="30" t="n">
        <f aca="false">input!B6*12</f>
        <v>57600</v>
      </c>
      <c r="G157" s="30" t="n">
        <f aca="false">input!B7*12</f>
        <v>36000</v>
      </c>
      <c r="H157" s="30" t="n">
        <f aca="false">F157-G157</f>
        <v>21600</v>
      </c>
      <c r="I157" s="30" t="n">
        <f aca="false">input!B11*12+MAX(0, MIN(input!B18, H157/12)) * 12</f>
        <v>33096</v>
      </c>
      <c r="J157" s="30" t="n">
        <f aca="false">K156</f>
        <v>6154709.30973801</v>
      </c>
      <c r="K157" s="30" t="n">
        <f aca="false">J157*(1+input!B14)+I157*((1+input!B14)-1)/input!B14</f>
        <v>6618634.96141967</v>
      </c>
      <c r="L157" s="30" t="n">
        <f aca="false">L156+MAX(0,H157/12)</f>
        <v>81624</v>
      </c>
      <c r="M157" s="30" t="n">
        <f aca="false">calc_metrics!B4</f>
        <v>2499900</v>
      </c>
      <c r="N157" s="31" t="str">
        <f aca="false">IF(K157&gt;=M157,"TRUE","FALSE")</f>
        <v>TRUE</v>
      </c>
      <c r="O157" s="32" t="n">
        <f aca="false">IFERROR(K157/M157,0)</f>
        <v>2.64755988696335</v>
      </c>
      <c r="P157" s="31" t="str">
        <f aca="false">IF(AND(L157&gt;=0,Q157&gt;=6,K157&gt;=M157*0.25),"TRUE","FALSE")</f>
        <v>TRUE</v>
      </c>
      <c r="Q157" s="33" t="n">
        <f aca="false">IFERROR(L157/(input!B7),0)</f>
        <v>27.208</v>
      </c>
      <c r="R157" s="28" t="s">
        <v>38</v>
      </c>
    </row>
    <row r="158" customFormat="false" ht="18" hidden="false" customHeight="true" outlineLevel="0" collapsed="false">
      <c r="A158" s="28" t="s">
        <v>81</v>
      </c>
      <c r="B158" s="28" t="s">
        <v>41</v>
      </c>
      <c r="C158" s="29" t="n">
        <v>36</v>
      </c>
      <c r="D158" s="29" t="n">
        <v>36</v>
      </c>
      <c r="E158" s="29" t="n">
        <f aca="false">input!B5+36</f>
        <v>74</v>
      </c>
      <c r="F158" s="30" t="n">
        <f aca="false">input!B6*12</f>
        <v>57600</v>
      </c>
      <c r="G158" s="30" t="n">
        <f aca="false">input!B7*12</f>
        <v>36000</v>
      </c>
      <c r="H158" s="30" t="n">
        <f aca="false">F158-G158</f>
        <v>21600</v>
      </c>
      <c r="I158" s="30" t="n">
        <f aca="false">input!B11*12+MAX(0, MIN(input!B18, H158/12)) * 12</f>
        <v>33096</v>
      </c>
      <c r="J158" s="30" t="n">
        <f aca="false">K157</f>
        <v>6618634.96141967</v>
      </c>
      <c r="K158" s="30" t="n">
        <f aca="false">J158*(1+input!B14)+I158*((1+input!B14)-1)/input!B14</f>
        <v>7115035.40871905</v>
      </c>
      <c r="L158" s="30" t="n">
        <f aca="false">L157+MAX(0,H158/12)</f>
        <v>83424</v>
      </c>
      <c r="M158" s="30" t="n">
        <f aca="false">calc_metrics!B4</f>
        <v>2499900</v>
      </c>
      <c r="N158" s="31" t="str">
        <f aca="false">IF(K158&gt;=M158,"TRUE","FALSE")</f>
        <v>TRUE</v>
      </c>
      <c r="O158" s="32" t="n">
        <f aca="false">IFERROR(K158/M158,0)</f>
        <v>2.84612800860796</v>
      </c>
      <c r="P158" s="31" t="str">
        <f aca="false">IF(AND(L158&gt;=0,Q158&gt;=6,K158&gt;=M158*0.25),"TRUE","FALSE")</f>
        <v>TRUE</v>
      </c>
      <c r="Q158" s="33" t="n">
        <f aca="false">IFERROR(L158/(input!B7),0)</f>
        <v>27.808</v>
      </c>
      <c r="R158" s="28" t="s">
        <v>38</v>
      </c>
    </row>
    <row r="159" customFormat="false" ht="18" hidden="false" customHeight="true" outlineLevel="0" collapsed="false">
      <c r="A159" s="28" t="s">
        <v>81</v>
      </c>
      <c r="B159" s="28" t="s">
        <v>41</v>
      </c>
      <c r="C159" s="29" t="n">
        <v>37</v>
      </c>
      <c r="D159" s="29" t="n">
        <v>37</v>
      </c>
      <c r="E159" s="29" t="n">
        <f aca="false">input!B5+37</f>
        <v>75</v>
      </c>
      <c r="F159" s="30" t="n">
        <f aca="false">input!B6*12</f>
        <v>57600</v>
      </c>
      <c r="G159" s="30" t="n">
        <f aca="false">input!B7*12</f>
        <v>36000</v>
      </c>
      <c r="H159" s="30" t="n">
        <f aca="false">F159-G159</f>
        <v>21600</v>
      </c>
      <c r="I159" s="30" t="n">
        <f aca="false">input!B11*12+MAX(0, MIN(input!B18, H159/12)) * 12</f>
        <v>33096</v>
      </c>
      <c r="J159" s="30" t="n">
        <f aca="false">K158</f>
        <v>7115035.40871905</v>
      </c>
      <c r="K159" s="30" t="n">
        <f aca="false">J159*(1+input!B14)+I159*((1+input!B14)-1)/input!B14</f>
        <v>7646183.88732938</v>
      </c>
      <c r="L159" s="30" t="n">
        <f aca="false">L158+MAX(0,H159/12)</f>
        <v>85224</v>
      </c>
      <c r="M159" s="30" t="n">
        <f aca="false">calc_metrics!B4</f>
        <v>2499900</v>
      </c>
      <c r="N159" s="31" t="str">
        <f aca="false">IF(K159&gt;=M159,"TRUE","FALSE")</f>
        <v>TRUE</v>
      </c>
      <c r="O159" s="32" t="n">
        <f aca="false">IFERROR(K159/M159,0)</f>
        <v>3.0585958987677</v>
      </c>
      <c r="P159" s="31" t="str">
        <f aca="false">IF(AND(L159&gt;=0,Q159&gt;=6,K159&gt;=M159*0.25),"TRUE","FALSE")</f>
        <v>TRUE</v>
      </c>
      <c r="Q159" s="33" t="n">
        <f aca="false">IFERROR(L159/(input!B7),0)</f>
        <v>28.408</v>
      </c>
      <c r="R159" s="28" t="s">
        <v>38</v>
      </c>
    </row>
    <row r="160" customFormat="false" ht="18" hidden="false" customHeight="true" outlineLevel="0" collapsed="false">
      <c r="A160" s="28" t="s">
        <v>81</v>
      </c>
      <c r="B160" s="28" t="s">
        <v>41</v>
      </c>
      <c r="C160" s="29" t="n">
        <v>38</v>
      </c>
      <c r="D160" s="29" t="n">
        <v>38</v>
      </c>
      <c r="E160" s="29" t="n">
        <f aca="false">input!B5+38</f>
        <v>76</v>
      </c>
      <c r="F160" s="30" t="n">
        <f aca="false">input!B6*12</f>
        <v>57600</v>
      </c>
      <c r="G160" s="30" t="n">
        <f aca="false">input!B7*12</f>
        <v>36000</v>
      </c>
      <c r="H160" s="30" t="n">
        <f aca="false">F160-G160</f>
        <v>21600</v>
      </c>
      <c r="I160" s="30" t="n">
        <f aca="false">input!B11*12+MAX(0, MIN(input!B18, H160/12)) * 12</f>
        <v>33096</v>
      </c>
      <c r="J160" s="30" t="n">
        <f aca="false">K159</f>
        <v>7646183.88732938</v>
      </c>
      <c r="K160" s="30" t="n">
        <f aca="false">J160*(1+input!B14)+I160*((1+input!B14)-1)/input!B14</f>
        <v>8214512.75944244</v>
      </c>
      <c r="L160" s="30" t="n">
        <f aca="false">L159+MAX(0,H160/12)</f>
        <v>87024</v>
      </c>
      <c r="M160" s="30" t="n">
        <f aca="false">calc_metrics!B4</f>
        <v>2499900</v>
      </c>
      <c r="N160" s="31" t="str">
        <f aca="false">IF(K160&gt;=M160,"TRUE","FALSE")</f>
        <v>TRUE</v>
      </c>
      <c r="O160" s="32" t="n">
        <f aca="false">IFERROR(K160/M160,0)</f>
        <v>3.28593654123863</v>
      </c>
      <c r="P160" s="31" t="str">
        <f aca="false">IF(AND(L160&gt;=0,Q160&gt;=6,K160&gt;=M160*0.25),"TRUE","FALSE")</f>
        <v>TRUE</v>
      </c>
      <c r="Q160" s="33" t="n">
        <f aca="false">IFERROR(L160/(input!B7),0)</f>
        <v>29.008</v>
      </c>
      <c r="R160" s="28" t="s">
        <v>38</v>
      </c>
    </row>
    <row r="161" customFormat="false" ht="18" hidden="false" customHeight="true" outlineLevel="0" collapsed="false">
      <c r="A161" s="28" t="s">
        <v>81</v>
      </c>
      <c r="B161" s="28" t="s">
        <v>41</v>
      </c>
      <c r="C161" s="29" t="n">
        <v>39</v>
      </c>
      <c r="D161" s="29" t="n">
        <v>39</v>
      </c>
      <c r="E161" s="29" t="n">
        <f aca="false">input!B5+39</f>
        <v>77</v>
      </c>
      <c r="F161" s="30" t="n">
        <f aca="false">input!B6*12</f>
        <v>57600</v>
      </c>
      <c r="G161" s="30" t="n">
        <f aca="false">input!B7*12</f>
        <v>36000</v>
      </c>
      <c r="H161" s="30" t="n">
        <f aca="false">F161-G161</f>
        <v>21600</v>
      </c>
      <c r="I161" s="30" t="n">
        <f aca="false">input!B11*12+MAX(0, MIN(input!B18, H161/12)) * 12</f>
        <v>33096</v>
      </c>
      <c r="J161" s="30" t="n">
        <f aca="false">K160</f>
        <v>8214512.75944244</v>
      </c>
      <c r="K161" s="30" t="n">
        <f aca="false">J161*(1+input!B14)+I161*((1+input!B14)-1)/input!B14</f>
        <v>8822624.65260341</v>
      </c>
      <c r="L161" s="30" t="n">
        <f aca="false">L160+MAX(0,H161/12)</f>
        <v>88824</v>
      </c>
      <c r="M161" s="30" t="n">
        <f aca="false">calc_metrics!B4</f>
        <v>2499900</v>
      </c>
      <c r="N161" s="31" t="str">
        <f aca="false">IF(K161&gt;=M161,"TRUE","FALSE")</f>
        <v>TRUE</v>
      </c>
      <c r="O161" s="32" t="n">
        <f aca="false">IFERROR(K161/M161,0)</f>
        <v>3.52919102868251</v>
      </c>
      <c r="P161" s="31" t="str">
        <f aca="false">IF(AND(L161&gt;=0,Q161&gt;=6,K161&gt;=M161*0.25),"TRUE","FALSE")</f>
        <v>TRUE</v>
      </c>
      <c r="Q161" s="33" t="n">
        <f aca="false">IFERROR(L161/(input!B7),0)</f>
        <v>29.608</v>
      </c>
      <c r="R161" s="28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K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10" min="9" style="1" width="18"/>
    <col collapsed="false" customWidth="true" hidden="false" outlineLevel="0" max="11" min="11" style="1" width="20"/>
  </cols>
  <sheetData>
    <row r="1" customFormat="false" ht="25.5" hidden="false" customHeight="true" outlineLevel="0" collapsed="false">
      <c r="A1" s="34" t="s">
        <v>95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customFormat="false" ht="19.5" hidden="false" customHeight="true" outlineLevel="0" collapsed="false">
      <c r="A2" s="9" t="s">
        <v>82</v>
      </c>
      <c r="B2" s="9" t="s">
        <v>24</v>
      </c>
      <c r="C2" s="9" t="s">
        <v>25</v>
      </c>
      <c r="D2" s="9" t="s">
        <v>26</v>
      </c>
      <c r="E2" s="9" t="s">
        <v>27</v>
      </c>
      <c r="F2" s="9" t="s">
        <v>28</v>
      </c>
      <c r="G2" s="9" t="s">
        <v>29</v>
      </c>
      <c r="H2" s="9" t="s">
        <v>30</v>
      </c>
      <c r="I2" s="9" t="s">
        <v>31</v>
      </c>
      <c r="J2" s="9" t="s">
        <v>32</v>
      </c>
      <c r="K2" s="9" t="s">
        <v>34</v>
      </c>
    </row>
    <row r="3" customFormat="false" ht="19.5" hidden="false" customHeight="true" outlineLevel="0" collapsed="false">
      <c r="A3" s="35" t="s">
        <v>78</v>
      </c>
      <c r="B3" s="36" t="str">
        <f aca="false">input!A28</f>
        <v>Baseline</v>
      </c>
      <c r="C3" s="36" t="str">
        <f aca="false">input!B28</f>
        <v>baseline</v>
      </c>
      <c r="D3" s="37" t="b">
        <f aca="false">input!C28</f>
        <v>1</v>
      </c>
      <c r="E3" s="37" t="b">
        <f aca="false">input!D28</f>
        <v>0</v>
      </c>
      <c r="F3" s="38" t="n">
        <f aca="false">input!E28</f>
        <v>0</v>
      </c>
      <c r="G3" s="38" t="n">
        <f aca="false">input!F28</f>
        <v>0</v>
      </c>
      <c r="H3" s="39" t="n">
        <f aca="false">input!G28</f>
        <v>0</v>
      </c>
      <c r="I3" s="40" t="n">
        <f aca="false">input!H28</f>
        <v>0</v>
      </c>
      <c r="J3" s="40" t="n">
        <f aca="false">input!I28</f>
        <v>0</v>
      </c>
      <c r="K3" s="40" t="n">
        <f aca="false">input!J28</f>
        <v>0</v>
      </c>
    </row>
    <row r="4" customFormat="false" ht="19.5" hidden="false" customHeight="true" outlineLevel="0" collapsed="false">
      <c r="A4" s="35" t="s">
        <v>79</v>
      </c>
      <c r="B4" s="36" t="str">
        <f aca="false">input!A29</f>
        <v>Career Break 1yr</v>
      </c>
      <c r="C4" s="36" t="str">
        <f aca="false">input!B29</f>
        <v>flow_shock</v>
      </c>
      <c r="D4" s="37" t="b">
        <f aca="false">input!C29</f>
        <v>1</v>
      </c>
      <c r="E4" s="37" t="b">
        <f aca="false">input!D29</f>
        <v>1</v>
      </c>
      <c r="F4" s="38" t="n">
        <f aca="false">input!E29</f>
        <v>1</v>
      </c>
      <c r="G4" s="38" t="n">
        <f aca="false">input!F29</f>
        <v>12</v>
      </c>
      <c r="H4" s="39" t="n">
        <f aca="false">input!G29</f>
        <v>-1</v>
      </c>
      <c r="I4" s="40" t="n">
        <f aca="false">input!H29</f>
        <v>0</v>
      </c>
      <c r="J4" s="40" t="n">
        <f aca="false">input!I29</f>
        <v>0</v>
      </c>
      <c r="K4" s="40" t="n">
        <f aca="false">input!J29</f>
        <v>-800</v>
      </c>
    </row>
    <row r="5" customFormat="false" ht="19.5" hidden="false" customHeight="true" outlineLevel="0" collapsed="false">
      <c r="A5" s="35" t="s">
        <v>80</v>
      </c>
      <c r="B5" s="36" t="str">
        <f aca="false">input!A30</f>
        <v>Grad School 2yr</v>
      </c>
      <c r="C5" s="36" t="str">
        <f aca="false">input!B30</f>
        <v>hybrid</v>
      </c>
      <c r="D5" s="37" t="b">
        <f aca="false">input!C30</f>
        <v>1</v>
      </c>
      <c r="E5" s="37" t="b">
        <f aca="false">input!D30</f>
        <v>1</v>
      </c>
      <c r="F5" s="38" t="n">
        <f aca="false">input!E30</f>
        <v>2</v>
      </c>
      <c r="G5" s="38" t="n">
        <f aca="false">input!F30</f>
        <v>24</v>
      </c>
      <c r="H5" s="39" t="n">
        <f aca="false">input!G30</f>
        <v>-0.5</v>
      </c>
      <c r="I5" s="40" t="n">
        <f aca="false">input!H30</f>
        <v>40000</v>
      </c>
      <c r="J5" s="40" t="n">
        <f aca="false">input!I30</f>
        <v>300</v>
      </c>
      <c r="K5" s="40" t="n">
        <f aca="false">input!J30</f>
        <v>-800</v>
      </c>
    </row>
    <row r="6" customFormat="false" ht="19.5" hidden="false" customHeight="true" outlineLevel="0" collapsed="false">
      <c r="A6" s="35" t="s">
        <v>81</v>
      </c>
      <c r="B6" s="36" t="str">
        <f aca="false">input!A31</f>
        <v>Family Planning</v>
      </c>
      <c r="C6" s="36" t="str">
        <f aca="false">input!B31</f>
        <v>flow_shock</v>
      </c>
      <c r="D6" s="37" t="b">
        <f aca="false">input!C31</f>
        <v>1</v>
      </c>
      <c r="E6" s="37" t="b">
        <f aca="false">input!D31</f>
        <v>0</v>
      </c>
      <c r="F6" s="38" t="n">
        <f aca="false">input!E31</f>
        <v>1</v>
      </c>
      <c r="G6" s="38" t="n">
        <f aca="false">input!F31</f>
        <v>12</v>
      </c>
      <c r="H6" s="39" t="n">
        <f aca="false">input!G31</f>
        <v>0</v>
      </c>
      <c r="I6" s="40" t="n">
        <f aca="false">input!H31</f>
        <v>0</v>
      </c>
      <c r="J6" s="40" t="n">
        <f aca="false">input!I31</f>
        <v>500</v>
      </c>
      <c r="K6" s="40" t="n">
        <f aca="false">input!J31</f>
        <v>0</v>
      </c>
    </row>
    <row r="8" customFormat="false" ht="15" hidden="false" customHeight="true" outlineLevel="0" collapsed="false">
      <c r="A8" s="41" t="s">
        <v>96</v>
      </c>
      <c r="B8" s="41"/>
      <c r="C8" s="41"/>
      <c r="D8" s="41"/>
      <c r="E8" s="41"/>
      <c r="F8" s="41"/>
      <c r="G8" s="41"/>
      <c r="H8" s="41"/>
      <c r="I8" s="41"/>
      <c r="J8" s="41"/>
      <c r="K8" s="41"/>
    </row>
    <row r="9" customFormat="false" ht="15" hidden="false" customHeight="true" outlineLevel="0" collapsed="false">
      <c r="A9" s="41" t="s">
        <v>97</v>
      </c>
      <c r="B9" s="41"/>
      <c r="C9" s="41"/>
      <c r="D9" s="41"/>
      <c r="E9" s="41"/>
      <c r="F9" s="41"/>
      <c r="G9" s="41"/>
      <c r="H9" s="41"/>
      <c r="I9" s="41"/>
      <c r="J9" s="41"/>
      <c r="K9" s="41"/>
    </row>
  </sheetData>
  <mergeCells count="3">
    <mergeCell ref="A1:K1"/>
    <mergeCell ref="A8:K8"/>
    <mergeCell ref="A9:K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2026-04-09T22:14:33Z</dcterms:created>
  <dc:creator>openpyxl</dc:creator>
  <dc:description/>
  <dc:language>en-US</dc:language>
  <cp:lastModifiedBy/>
  <dcterms:modified xsi:type="dcterms:W3CDTF">2026-04-09T22:15:50Z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